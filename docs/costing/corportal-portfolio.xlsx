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heetId="1" state="visible" r:id="rId1"/>
    <sheet name="Multi-Year" sheetId="2" state="visible" r:id="rId2"/>
    <sheet name="Epics" sheetId="3" state="visible" r:id="rId3"/>
    <sheet name="Sprints" sheetId="4" state="visible" r:id="rId4"/>
    <sheet name="Phase Budgets" sheetId="5" state="visible" r:id="rId5"/>
    <sheet name="Revenue" sheetId="6" state="visible" r:id="rId6"/>
    <sheet name="Rate Card" sheetId="7" state="visible" r:id="rId7"/>
    <sheet name="Other Costs" sheetId="8" state="visible" r:id="rId8"/>
    <sheet name="Run Costs" sheetId="9" state="visible" r:id="rId9"/>
    <sheet name="Dev" sheetId="10" state="visible" r:id="rId10"/>
    <sheet name="Test" sheetId="11" state="visible" r:id="rId11"/>
    <sheet name="UAT" sheetId="12" state="visible" r:id="rId12"/>
    <sheet name="Prod" sheetId="13" state="visible" r:id="rId13"/>
    <sheet name="Claude Prices" sheetId="14" state="visible" r:id="rId14"/>
    <sheet name="Claude Usage" sheetId="15" state="visible" r:id="rId15"/>
    <sheet name="Claude Usage Detail" sheetId="16" state="visible" r:id="rId16"/>
    <sheet name="Claude Usage Daily" sheetId="17" state="visible" r:id="rId17"/>
    <sheet name="Project Timeline" sheetId="18" state="visible" r:id="rId18"/>
    <sheet name="AI Feedback" sheetId="19" state="visible" r:id="rId19"/>
    <sheet name="Sources &amp; Gaps" sheetId="20" state="visible" r:id="rId20"/>
  </sheets>
  <definedNames>
    <definedName name="DeliveryDays">Overall!$B$5</definedName>
    <definedName name="WorkingDaysPerMonth">Overall!$B$6</definedName>
    <definedName name="DeliveryMonths">Overall!$B$7</definedName>
    <definedName name="HoursPerMonth">Overall!$B$8</definedName>
    <definedName name="ProjectStart">Overall!$B$9</definedName>
    <definedName name="SprintDays">Overall!$B$10</definedName>
    <definedName name="HorizonYears">Overall!$B$11</definedName>
    <definedName name="CostEscalation">Overall!$B$12</definedName>
    <definedName name="HorizonFactor">Overall!$B$13</definedName>
    <definedName name="Contingency">Overall!$B$14</definedName>
    <definedName name="FxRate">Overall!$B$15</definedName>
    <definedName name="ClaudeFxRate">Overall!$B$16</definedName>
    <definedName name="LastActual">Sprints!$C$3</definedName>
  </definedNames>
  <calcPr calcId="124519" fullCalcOnLoad="1"/>
</workbook>
</file>

<file path=xl/styles.xml><?xml version="1.0" encoding="utf-8"?>
<styleSheet xmlns="http://schemas.openxmlformats.org/spreadsheetml/2006/main">
  <numFmts count="11">
    <numFmt numFmtId="164" formatCode="#,##0.0000"/>
    <numFmt numFmtId="165" formatCode="#,##0.##"/>
    <numFmt numFmtId="166" formatCode="0.0"/>
    <numFmt numFmtId="167" formatCode="yyyy-mm-dd h:mm:ss"/>
    <numFmt numFmtId="168" formatCode="yyyy-mm-dd"/>
    <numFmt numFmtId="169" formatCode="0.0%"/>
    <numFmt numFmtId="170" formatCode="0.0000"/>
    <numFmt numFmtId="171" formatCode="+#,##0;-#,##0;0"/>
    <numFmt numFmtId="172" formatCode="+0.0%;-0.0%;0.0%"/>
    <numFmt numFmtId="173" formatCode="+#,##0.00;-#,##0.00;0.00"/>
    <numFmt numFmtId="174" formatCode="yyyy-mm-dd hh:mm"/>
  </numFmts>
  <fonts count="8">
    <font>
      <name val="Calibri"/>
      <family val="2"/>
      <color theme="1"/>
      <sz val="11"/>
      <scheme val="minor"/>
    </font>
    <font>
      <b val="1"/>
      <sz val="14"/>
    </font>
    <font>
      <b val="1"/>
      <color rgb="00FFFFFF"/>
    </font>
    <font>
      <color rgb="000000FF"/>
    </font>
    <font>
      <b val="1"/>
    </font>
    <font>
      <b val="1"/>
      <color rgb="001F4E78"/>
      <sz val="12"/>
    </font>
    <font>
      <color rgb="00008000"/>
    </font>
    <font>
      <b val="1"/>
      <sz val="12"/>
    </font>
  </fonts>
  <fills count="3">
    <fill>
      <patternFill/>
    </fill>
    <fill>
      <patternFill patternType="gray125"/>
    </fill>
    <fill>
      <patternFill patternType="solid">
        <fgColor rgb="001F4E78"/>
      </patternFill>
    </fill>
  </fills>
  <borders count="2">
    <border>
      <left/>
      <right/>
      <top/>
      <bottom/>
      <diagonal/>
    </border>
    <border>
      <top style="thin"/>
    </border>
  </borders>
  <cellStyleXfs count="1">
    <xf numFmtId="0" fontId="0" fillId="0" borderId="0"/>
  </cellStyleXfs>
  <cellXfs count="41">
    <xf numFmtId="0" fontId="0" fillId="0" borderId="0" pivotButton="0" quotePrefix="0" xfId="0"/>
    <xf numFmtId="0" fontId="1" fillId="0" borderId="0" pivotButton="0" quotePrefix="0" xfId="0"/>
    <xf numFmtId="0" fontId="5" fillId="0" borderId="0" pivotButton="0" quotePrefix="0" xfId="0"/>
    <xf numFmtId="0" fontId="2" fillId="2" borderId="0" applyAlignment="1" pivotButton="0" quotePrefix="0" xfId="0">
      <alignment vertical="center" wrapText="1"/>
    </xf>
    <xf numFmtId="165" fontId="3" fillId="0" borderId="0" pivotButton="0" quotePrefix="0" xfId="0"/>
    <xf numFmtId="166" fontId="0" fillId="0" borderId="0" pivotButton="0" quotePrefix="0" xfId="0"/>
    <xf numFmtId="168" fontId="3" fillId="0" borderId="0" pivotButton="0" quotePrefix="0" xfId="0"/>
    <xf numFmtId="1" fontId="3" fillId="0" borderId="0" pivotButton="0" quotePrefix="0" xfId="0"/>
    <xf numFmtId="169" fontId="3" fillId="0" borderId="0" pivotButton="0" quotePrefix="0" xfId="0"/>
    <xf numFmtId="2" fontId="0" fillId="0" borderId="0" pivotButton="0" quotePrefix="0" xfId="0"/>
    <xf numFmtId="9" fontId="3" fillId="0" borderId="0" pivotButton="0" quotePrefix="0" xfId="0"/>
    <xf numFmtId="170" fontId="3" fillId="0" borderId="0" pivotButton="0" quotePrefix="0" xfId="0"/>
    <xf numFmtId="4" fontId="6" fillId="0" borderId="0" pivotButton="0" quotePrefix="0" xfId="0"/>
    <xf numFmtId="165" fontId="0" fillId="0" borderId="0" pivotButton="0" quotePrefix="0" xfId="0"/>
    <xf numFmtId="4" fontId="0" fillId="0" borderId="0" pivotButton="0" quotePrefix="0" xfId="0"/>
    <xf numFmtId="0" fontId="3" fillId="0" borderId="0" pivotButton="0" quotePrefix="0" xfId="0"/>
    <xf numFmtId="0" fontId="4" fillId="0" borderId="1" pivotButton="0" quotePrefix="0" xfId="0"/>
    <xf numFmtId="165" fontId="4" fillId="0" borderId="1" pivotButton="0" quotePrefix="0" xfId="0"/>
    <xf numFmtId="4" fontId="4" fillId="0" borderId="1" pivotButton="0" quotePrefix="0" xfId="0"/>
    <xf numFmtId="166" fontId="3" fillId="0" borderId="0" pivotButton="0" quotePrefix="0" xfId="0"/>
    <xf numFmtId="0" fontId="7" fillId="0" borderId="1" pivotButton="0" quotePrefix="0" xfId="0"/>
    <xf numFmtId="4" fontId="7" fillId="0" borderId="1" pivotButton="0" quotePrefix="0" xfId="0"/>
    <xf numFmtId="0" fontId="6" fillId="0" borderId="0" pivotButton="0" quotePrefix="0" xfId="0"/>
    <xf numFmtId="0" fontId="4" fillId="0" borderId="0" pivotButton="0" quotePrefix="0" xfId="0"/>
    <xf numFmtId="169" fontId="0" fillId="0" borderId="0" pivotButton="0" quotePrefix="0" xfId="0"/>
    <xf numFmtId="0" fontId="0" fillId="0" borderId="0" applyAlignment="1" pivotButton="0" quotePrefix="0" xfId="0">
      <alignment vertical="top" wrapText="1"/>
    </xf>
    <xf numFmtId="168" fontId="0" fillId="0" borderId="0" pivotButton="0" quotePrefix="0" xfId="0"/>
    <xf numFmtId="4" fontId="3" fillId="0" borderId="0" pivotButton="0" quotePrefix="0" xfId="0"/>
    <xf numFmtId="171" fontId="0" fillId="0" borderId="0" pivotButton="0" quotePrefix="0" xfId="0"/>
    <xf numFmtId="172" fontId="0" fillId="0" borderId="0" pivotButton="0" quotePrefix="0" xfId="0"/>
    <xf numFmtId="173" fontId="0" fillId="0" borderId="0" pivotButton="0" quotePrefix="0" xfId="0"/>
    <xf numFmtId="172" fontId="4" fillId="0" borderId="1" pivotButton="0" quotePrefix="0" xfId="0"/>
    <xf numFmtId="1" fontId="0" fillId="0" borderId="0" pivotButton="0" quotePrefix="0" xfId="0"/>
    <xf numFmtId="0" fontId="3" fillId="0" borderId="0" applyAlignment="1" pivotButton="0" quotePrefix="0" xfId="0">
      <alignment vertical="top" wrapText="1"/>
    </xf>
    <xf numFmtId="1" fontId="4" fillId="0" borderId="1" pivotButton="0" quotePrefix="0" xfId="0"/>
    <xf numFmtId="164" fontId="3" fillId="0" borderId="0" pivotButton="0" quotePrefix="0" xfId="0"/>
    <xf numFmtId="3" fontId="0" fillId="0" borderId="0" pivotButton="0" quotePrefix="0" xfId="0"/>
    <xf numFmtId="3" fontId="4" fillId="0" borderId="1" pivotButton="0" quotePrefix="0" xfId="0"/>
    <xf numFmtId="174" fontId="0" fillId="0" borderId="0" pivotButton="0" quotePrefix="0" xfId="0"/>
    <xf numFmtId="166" fontId="4" fillId="0" borderId="1"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ables/table1.xml><?xml version="1.0" encoding="utf-8"?>
<table xmlns="http://schemas.openxmlformats.org/spreadsheetml/2006/main" id="1" name="tblInputs" displayName="tblInputs" ref="A4:B16" headerRowCount="1">
  <autoFilter ref="A4:B16"/>
  <tableColumns count="2">
    <tableColumn id="1" name="Input"/>
    <tableColumn id="2" name="Value"/>
  </tableColumns>
  <tableStyleInfo name="TableStyleLight9" showRowStripes="1"/>
</table>
</file>

<file path=xl/tables/table2.xml><?xml version="1.0" encoding="utf-8"?>
<table xmlns="http://schemas.openxmlformats.org/spreadsheetml/2006/main" id="2" name="tblTeam" displayName="tblTeam" ref="A19:H28" headerRowCount="1">
  <autoFilter ref="A19:H28"/>
  <tableColumns count="8">
    <tableColumn id="1" name="Role"/>
    <tableColumn id="2" name="Day rate (USD)"/>
    <tableColumn id="3" name="Employees"/>
    <tableColumn id="4" name="Days on delivery"/>
    <tableColumn id="5" name="Allocation"/>
    <tableColumn id="6" name="Mandays"/>
    <tableColumn id="7" name="Cost (USD)"/>
    <tableColumn id="8" name="Cited from"/>
  </tableColumns>
  <tableStyleInfo name="TableStyleLight9" showRowStripes="1"/>
</table>
</file>

<file path=xl/tables/table3.xml><?xml version="1.0" encoding="utf-8"?>
<table xmlns="http://schemas.openxmlformats.org/spreadsheetml/2006/main" id="3" name="tblSupport" displayName="tblSupport" ref="A32:E38" headerRowCount="1">
  <autoFilter ref="A32:E38"/>
  <tableColumns count="5">
    <tableColumn id="1" name="Role"/>
    <tableColumn id="2" name="Day rate (USD)"/>
    <tableColumn id="3" name="Mandays per year"/>
    <tableColumn id="4" name="Cost per year (USD)"/>
    <tableColumn id="5" name="Cited from"/>
  </tableColumns>
  <tableStyleInfo name="TableStyleLight9" showRowStripes="1"/>
</table>
</file>

<file path=xl/tables/table4.xml><?xml version="1.0" encoding="utf-8"?>
<table xmlns="http://schemas.openxmlformats.org/spreadsheetml/2006/main" id="4" name="tblCostSummary" displayName="tblCostSummary" ref="A42:I51" headerRowCount="1">
  <autoFilter ref="A42:I51"/>
  <tableColumns count="9">
    <tableColumn id="1" name="Item"/>
    <tableColumn id="2" name="Monthly (USD)"/>
    <tableColumn id="3" name="Months in delivery"/>
    <tableColumn id="4" name="Delivery cost (USD)"/>
    <tableColumn id="5" name="Run months per year"/>
    <tableColumn id="6" name="Run cost per year (USD)"/>
    <tableColumn id="7" name="Run cost over the horizon (USD)"/>
    <tableColumn id="8" name="Total (USD)"/>
    <tableColumn id="9" name="From"/>
  </tableColumns>
  <tableStyleInfo name="TableStyleLight9" showRowStripes="1"/>
</table>
</file>

<file path=xl/tables/table5.xml><?xml version="1.0" encoding="utf-8"?>
<table xmlns="http://schemas.openxmlformats.org/spreadsheetml/2006/main" id="5" name="tblMultiYear" displayName="tblMultiYear" ref="A4:I15" headerRowCount="1">
  <autoFilter ref="A4:I15"/>
  <tableColumns count="9">
    <tableColumn id="1" name="Category"/>
    <tableColumn id="2" name="Item"/>
    <tableColumn id="3" name="Build"/>
    <tableColumn id="4" name="Year 1"/>
    <tableColumn id="5" name="Year 2"/>
    <tableColumn id="6" name="Year 3"/>
    <tableColumn id="7" name="Year 4"/>
    <tableColumn id="8" name="Year 5"/>
    <tableColumn id="9" name="Total"/>
  </tableColumns>
  <tableStyleInfo name="TableStyleLight9" showRowStripes="1"/>
</table>
</file>

<file path=xl/tables/table6.xml><?xml version="1.0" encoding="utf-8"?>
<table xmlns="http://schemas.openxmlformats.org/spreadsheetml/2006/main" id="6" name="tblEpics" displayName="tblEpics" ref="A4:X13" headerRowCount="1">
  <autoFilter ref="A4:X13"/>
  <tableColumns count="24">
    <tableColumn id="1" name="Epic"/>
    <tableColumn id="2" name="Name"/>
    <tableColumn id="3" name="Deliverables"/>
    <tableColumn id="4" name="Planned days"/>
    <tableColumn id="5" name="Planned weeks"/>
    <tableColumn id="6" name="Planned start"/>
    <tableColumn id="7" name="Planned end"/>
    <tableColumn id="8" name="Share of build"/>
    <tableColumn id="9" name="Team mandays"/>
    <tableColumn id="10" name="Team cost (USD)"/>
    <tableColumn id="11" name="Infra cost (USD)"/>
    <tableColumn id="12" name="Other costs (USD)"/>
    <tableColumn id="13" name="Claude API budget (USD)"/>
    <tableColumn id="14" name="Forecast total (USD)"/>
    <tableColumn id="15" name="Actual start"/>
    <tableColumn id="16" name="Actual end"/>
    <tableColumn id="17" name="Actual days"/>
    <tableColumn id="18" name="Days variance"/>
    <tableColumn id="19" name="Days variance %"/>
    <tableColumn id="20" name="Claude API actual (USD)"/>
    <tableColumn id="21" name="Actual team cost, timesheets (USD)"/>
    <tableColumn id="22" name="Actual total (USD)"/>
    <tableColumn id="23" name="Cost variance (USD)"/>
    <tableColumn id="24" name="Cited from"/>
  </tableColumns>
  <tableStyleInfo name="TableStyleLight9" showRowStripes="1"/>
</table>
</file>

<file path=xl/tables/table7.xml><?xml version="1.0" encoding="utf-8"?>
<table xmlns="http://schemas.openxmlformats.org/spreadsheetml/2006/main" id="7" name="tblSprints" displayName="tblSprints" ref="A4:P15" headerRowCount="1">
  <autoFilter ref="A4:P15"/>
  <tableColumns count="16">
    <tableColumn id="1" name="Sprint"/>
    <tableColumn id="2" name="Start"/>
    <tableColumn id="3" name="End"/>
    <tableColumn id="4" name="Planned days"/>
    <tableColumn id="5" name="Planned stories"/>
    <tableColumn id="6" name="Team cost (USD)"/>
    <tableColumn id="7" name="Infra cost (USD)"/>
    <tableColumn id="8" name="Claude API budget (USD)"/>
    <tableColumn id="9" name="Forecast total (USD)"/>
    <tableColumn id="10" name="Days worked"/>
    <tableColumn id="11" name="Stories done"/>
    <tableColumn id="12" name="Stories done (list)"/>
    <tableColumn id="13" name="Claude API actual (USD)"/>
    <tableColumn id="14" name="Actual team cost, timesheets (USD)"/>
    <tableColumn id="15" name="Actual total (USD)"/>
    <tableColumn id="16" name="Cost variance (USD)"/>
  </tableColumns>
  <tableStyleInfo name="TableStyleLight9" showRowStripes="1"/>
</table>
</file>

<file path=xl/tables/table8.xml><?xml version="1.0" encoding="utf-8"?>
<table xmlns="http://schemas.openxmlformats.org/spreadsheetml/2006/main" id="8" name="tblPhaseBudgets" displayName="tblPhaseBudgets" ref="A4:F15" headerRowCount="1">
  <autoFilter ref="A4:F15"/>
  <tableColumns count="6">
    <tableColumn id="1" name="Phase"/>
    <tableColumn id="2" name="Claude API budget (USD)"/>
    <tableColumn id="3" name="Claude API actual (USD)"/>
    <tableColumn id="4" name="Variance (USD)"/>
    <tableColumn id="5" name="Variance %"/>
    <tableColumn id="6" name="Cited from"/>
  </tableColumns>
  <tableStyleInfo name="TableStyleLight9" showRowStripes="1"/>
</table>
</file>

<file path=xl/tables/table9.xml><?xml version="1.0" encoding="utf-8"?>
<table xmlns="http://schemas.openxmlformats.org/spreadsheetml/2006/main" id="9" name="tblRevenue" displayName="tblRevenue" ref="A4:J7" headerRowCount="1">
  <autoFilter ref="A4:J7"/>
  <tableColumns count="10">
    <tableColumn id="1" name="#"/>
    <tableColumn id="2" name="Stream"/>
    <tableColumn id="3" name="Basis"/>
    <tableColumn id="4" name="Year 1"/>
    <tableColumn id="5" name="Year 2"/>
    <tableColumn id="6" name="Year 3"/>
    <tableColumn id="7" name="Year 4"/>
    <tableColumn id="8" name="Year 5"/>
    <tableColumn id="9" name="Cited from"/>
    <tableColumn id="10" name="Note"/>
  </tableColumns>
  <tableStyleInfo name="TableStyleLight9" showRowStripes="1"/>
</table>
</file>

<file path=xl/tables/table10.xml><?xml version="1.0" encoding="utf-8"?>
<table xmlns="http://schemas.openxmlformats.org/spreadsheetml/2006/main" id="10" name="tblRateCard" displayName="tblRateCard" ref="A4:C14" headerRowCount="1">
  <autoFilter ref="A4:C14"/>
  <tableColumns count="3">
    <tableColumn id="1" name="Role"/>
    <tableColumn id="2" name="Day rate (USD)"/>
    <tableColumn id="3" name="Note"/>
  </tableColumns>
  <tableStyleInfo name="TableStyleLight9" showRowStripes="1"/>
</table>
</file>

<file path=xl/tables/table11.xml><?xml version="1.0" encoding="utf-8"?>
<table xmlns="http://schemas.openxmlformats.org/spreadsheetml/2006/main" id="11" name="tblOtherCosts" displayName="tblOtherCosts" ref="A4:F9" headerRowCount="1">
  <autoFilter ref="A4:F9"/>
  <tableColumns count="6">
    <tableColumn id="1" name="#"/>
    <tableColumn id="2" name="Item"/>
    <tableColumn id="3" name="Amount (USD)"/>
    <tableColumn id="4" name="Cited from"/>
    <tableColumn id="5" name="Note"/>
    <tableColumn id="6" name="Epic"/>
  </tableColumns>
  <tableStyleInfo name="TableStyleLight9" showRowStripes="1"/>
</table>
</file>

<file path=xl/tables/table12.xml><?xml version="1.0" encoding="utf-8"?>
<table xmlns="http://schemas.openxmlformats.org/spreadsheetml/2006/main" id="12" name="tblRunCosts" displayName="tblRunCosts" ref="A4:E8" headerRowCount="1">
  <autoFilter ref="A4:E8"/>
  <tableColumns count="5">
    <tableColumn id="1" name="#"/>
    <tableColumn id="2" name="Item"/>
    <tableColumn id="3" name="Annual cost (USD)"/>
    <tableColumn id="4" name="Cited from"/>
    <tableColumn id="5" name="Note"/>
  </tableColumns>
  <tableStyleInfo name="TableStyleLight9" showRowStripes="1"/>
</table>
</file>

<file path=xl/tables/table13.xml><?xml version="1.0" encoding="utf-8"?>
<table xmlns="http://schemas.openxmlformats.org/spreadsheetml/2006/main" id="13" name="tblEnvDev" displayName="tblEnvDev" ref="A4:O22" headerRowCount="1">
  <autoFilter ref="A4:O22"/>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4.xml><?xml version="1.0" encoding="utf-8"?>
<table xmlns="http://schemas.openxmlformats.org/spreadsheetml/2006/main" id="14" name="tblEnvTest" displayName="tblEnvTest" ref="A4:O21" headerRowCount="1">
  <autoFilter ref="A4:O21"/>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5.xml><?xml version="1.0" encoding="utf-8"?>
<table xmlns="http://schemas.openxmlformats.org/spreadsheetml/2006/main" id="15" name="tblEnvUAT" displayName="tblEnvUAT" ref="A4:O25" headerRowCount="1">
  <autoFilter ref="A4:O25"/>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6.xml><?xml version="1.0" encoding="utf-8"?>
<table xmlns="http://schemas.openxmlformats.org/spreadsheetml/2006/main" id="16" name="tblEnvProd" displayName="tblEnvProd" ref="A4:O30" headerRowCount="1">
  <autoFilter ref="A4:O30"/>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7.xml><?xml version="1.0" encoding="utf-8"?>
<table xmlns="http://schemas.openxmlformats.org/spreadsheetml/2006/main" id="17" name="tblClaudePrices" displayName="tblClaudePrices" ref="A4:G22" headerRowCount="1">
  <autoFilter ref="A4:G22"/>
  <tableColumns count="7">
    <tableColumn id="1" name="Pricing model"/>
    <tableColumn id="2" name="Name"/>
    <tableColumn id="3" name="Input"/>
    <tableColumn id="4" name="Cache write 5m"/>
    <tableColumn id="5" name="Cache write 1h"/>
    <tableColumn id="6" name="Cache read"/>
    <tableColumn id="7" name="Output"/>
  </tableColumns>
  <tableStyleInfo name="TableStyleLight9" showRowStripes="1"/>
</table>
</file>

<file path=xl/tables/table18.xml><?xml version="1.0" encoding="utf-8"?>
<table xmlns="http://schemas.openxmlformats.org/spreadsheetml/2006/main" id="18" name="tblClaudeUsage" displayName="tblClaudeUsage" ref="A4:I5" headerRowCount="1">
  <autoFilter ref="A4:I5"/>
  <tableColumns count="9">
    <tableColumn id="1" name="Model"/>
    <tableColumn id="2" name="Calls"/>
    <tableColumn id="3" name="Input tokens"/>
    <tableColumn id="4" name="Cache write 5m tokens"/>
    <tableColumn id="5" name="Cache write 1h tokens"/>
    <tableColumn id="6" name="Cache read tokens"/>
    <tableColumn id="7" name="Output tokens"/>
    <tableColumn id="8" name="Cost (USD)"/>
    <tableColumn id="9" name="Cost (USD)"/>
  </tableColumns>
  <tableStyleInfo name="TableStyleLight9" showRowStripes="1"/>
</table>
</file>

<file path=xl/tables/table19.xml><?xml version="1.0" encoding="utf-8"?>
<table xmlns="http://schemas.openxmlformats.org/spreadsheetml/2006/main" id="19" name="tblClaudeUsageDetail" displayName="tblClaudeUsageDetail" ref="A4:Q43" headerRowCount="1">
  <autoFilter ref="A4:Q43"/>
  <tableColumns count="17">
    <tableColumn id="1" name="Kind"/>
    <tableColumn id="2" name="Work item"/>
    <tableColumn id="3" name="Story no"/>
    <tableColumn id="4" name="Title"/>
    <tableColumn id="5" name="Model"/>
    <tableColumn id="6" name="Pricing model"/>
    <tableColumn id="7" name="First call"/>
    <tableColumn id="8" name="Last call"/>
    <tableColumn id="9" name="Calls"/>
    <tableColumn id="10" name="Input tokens"/>
    <tableColumn id="11" name="Cache write 5m tokens"/>
    <tableColumn id="12" name="Cache write 1h tokens"/>
    <tableColumn id="13" name="Cache read tokens"/>
    <tableColumn id="14" name="Output tokens"/>
    <tableColumn id="15" name="Cost (USD)"/>
    <tableColumn id="16" name="Cost (USD)"/>
    <tableColumn id="17" name="Person"/>
  </tableColumns>
  <tableStyleInfo name="TableStyleLight9" showRowStripes="1"/>
</table>
</file>

<file path=xl/tables/table20.xml><?xml version="1.0" encoding="utf-8"?>
<table xmlns="http://schemas.openxmlformats.org/spreadsheetml/2006/main" id="20" name="tblClaudeUsageDaily" displayName="tblClaudeUsageDaily" ref="A4:P115" headerRowCount="1">
  <autoFilter ref="A4:P115"/>
  <tableColumns count="16">
    <tableColumn id="1" name="Day"/>
    <tableColumn id="2" name="Kind"/>
    <tableColumn id="3" name="Work item"/>
    <tableColumn id="4" name="Story no"/>
    <tableColumn id="5" name="Title"/>
    <tableColumn id="6" name="Model"/>
    <tableColumn id="7" name="Pricing model"/>
    <tableColumn id="8" name="Calls"/>
    <tableColumn id="9" name="Input tokens"/>
    <tableColumn id="10" name="Cache write 5m tokens"/>
    <tableColumn id="11" name="Cache write 1h tokens"/>
    <tableColumn id="12" name="Cache read tokens"/>
    <tableColumn id="13" name="Output tokens"/>
    <tableColumn id="14" name="Cost (USD)"/>
    <tableColumn id="15" name="Cost (USD)"/>
    <tableColumn id="16" name="Person"/>
  </tableColumns>
  <tableStyleInfo name="TableStyleLight9" showRowStripes="1"/>
</table>
</file>

<file path=xl/tables/table21.xml><?xml version="1.0" encoding="utf-8"?>
<table xmlns="http://schemas.openxmlformats.org/spreadsheetml/2006/main" id="21" name="tblTimeline" displayName="tblTimeline" ref="A4:H89" headerRowCount="1">
  <autoFilter ref="A4:H89"/>
  <tableColumns count="8">
    <tableColumn id="1" name="Category"/>
    <tableColumn id="2" name="Name"/>
    <tableColumn id="3" name="Detail"/>
    <tableColumn id="4" name="Status"/>
    <tableColumn id="5" name="Started"/>
    <tableColumn id="6" name="Completed"/>
    <tableColumn id="7" name="Days"/>
    <tableColumn id="8" name="Source"/>
  </tableColumns>
  <tableStyleInfo name="TableStyleLight9" showRowStripes="1"/>
</table>
</file>

<file path=xl/tables/table22.xml><?xml version="1.0" encoding="utf-8"?>
<table xmlns="http://schemas.openxmlformats.org/spreadsheetml/2006/main" id="22" name="tblAIFeedback" displayName="tblAIFeedback" ref="A4:H5" headerRowCount="1">
  <autoFilter ref="A4:H5"/>
  <tableColumns count="8">
    <tableColumn id="1" name="Epic"/>
    <tableColumn id="2" name="Rating"/>
    <tableColumn id="3" name="Poor"/>
    <tableColumn id="4" name="Categories"/>
    <tableColumn id="5" name="Other"/>
    <tableColumn id="6" name="Comment"/>
    <tableColumn id="7" name="Status"/>
    <tableColumn id="8" name="Recorded"/>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s>
</file>

<file path=xl/worksheets/_rels/sheet2.xml.rels><Relationships xmlns="http://schemas.openxmlformats.org/package/2006/relationships"><Relationship Type="http://schemas.openxmlformats.org/officeDocument/2006/relationships/table" Target="/xl/tables/table5.xml" Id="rId1" /></Relationships>
</file>

<file path=xl/worksheets/_rels/sheet3.xml.rels><Relationships xmlns="http://schemas.openxmlformats.org/package/2006/relationships"><Relationship Type="http://schemas.openxmlformats.org/officeDocument/2006/relationships/table" Target="/xl/tables/table6.xml" Id="rId1" /></Relationships>
</file>

<file path=xl/worksheets/_rels/sheet4.xml.rels><Relationships xmlns="http://schemas.openxmlformats.org/package/2006/relationships"><Relationship Type="http://schemas.openxmlformats.org/officeDocument/2006/relationships/table" Target="/xl/tables/table7.xml" Id="rId1" /></Relationships>
</file>

<file path=xl/worksheets/_rels/sheet5.xml.rels><Relationships xmlns="http://schemas.openxmlformats.org/package/2006/relationships"><Relationship Type="http://schemas.openxmlformats.org/officeDocument/2006/relationships/table" Target="/xl/tables/table8.xml" Id="rId1" /></Relationships>
</file>

<file path=xl/worksheets/_rels/sheet6.xml.rels><Relationships xmlns="http://schemas.openxmlformats.org/package/2006/relationships"><Relationship Type="http://schemas.openxmlformats.org/officeDocument/2006/relationships/table" Target="/xl/tables/table9.xml" Id="rId1" /></Relationships>
</file>

<file path=xl/worksheets/_rels/sheet7.xml.rels><Relationships xmlns="http://schemas.openxmlformats.org/package/2006/relationships"><Relationship Type="http://schemas.openxmlformats.org/officeDocument/2006/relationships/table" Target="/xl/tables/table10.xml" Id="rId1" /></Relationships>
</file>

<file path=xl/worksheets/_rels/sheet8.xml.rels><Relationships xmlns="http://schemas.openxmlformats.org/package/2006/relationships"><Relationship Type="http://schemas.openxmlformats.org/officeDocument/2006/relationships/table" Target="/xl/tables/table11.xml" Id="rId1" /></Relationships>
</file>

<file path=xl/worksheets/_rels/sheet9.xml.rels><Relationships xmlns="http://schemas.openxmlformats.org/package/2006/relationships"><Relationship Type="http://schemas.openxmlformats.org/officeDocument/2006/relationships/table" Target="/xl/tables/table12.xml" Id="rId1" /></Relationships>
</file>

<file path=xl/worksheets/_rels/sheet10.xml.rels><Relationships xmlns="http://schemas.openxmlformats.org/package/2006/relationships"><Relationship Type="http://schemas.openxmlformats.org/officeDocument/2006/relationships/table" Target="/xl/tables/table13.xml" Id="rId1" /></Relationships>
</file>

<file path=xl/worksheets/_rels/sheet11.xml.rels><Relationships xmlns="http://schemas.openxmlformats.org/package/2006/relationships"><Relationship Type="http://schemas.openxmlformats.org/officeDocument/2006/relationships/table" Target="/xl/tables/table14.xml" Id="rId1" /></Relationships>
</file>

<file path=xl/worksheets/_rels/sheet12.xml.rels><Relationships xmlns="http://schemas.openxmlformats.org/package/2006/relationships"><Relationship Type="http://schemas.openxmlformats.org/officeDocument/2006/relationships/table" Target="/xl/tables/table15.xml" Id="rId1" /></Relationships>
</file>

<file path=xl/worksheets/_rels/sheet13.xml.rels><Relationships xmlns="http://schemas.openxmlformats.org/package/2006/relationships"><Relationship Type="http://schemas.openxmlformats.org/officeDocument/2006/relationships/table" Target="/xl/tables/table16.xml" Id="rId1" /></Relationships>
</file>

<file path=xl/worksheets/_rels/sheet14.xml.rels><Relationships xmlns="http://schemas.openxmlformats.org/package/2006/relationships"><Relationship Type="http://schemas.openxmlformats.org/officeDocument/2006/relationships/table" Target="/xl/tables/table17.xml" Id="rId1" /></Relationships>
</file>

<file path=xl/worksheets/_rels/sheet15.xml.rels><Relationships xmlns="http://schemas.openxmlformats.org/package/2006/relationships"><Relationship Type="http://schemas.openxmlformats.org/officeDocument/2006/relationships/table" Target="/xl/tables/table18.xml" Id="rId1" /></Relationships>
</file>

<file path=xl/worksheets/_rels/sheet16.xml.rels><Relationships xmlns="http://schemas.openxmlformats.org/package/2006/relationships"><Relationship Type="http://schemas.openxmlformats.org/officeDocument/2006/relationships/table" Target="/xl/tables/table19.xml" Id="rId1" /></Relationships>
</file>

<file path=xl/worksheets/_rels/sheet17.xml.rels><Relationships xmlns="http://schemas.openxmlformats.org/package/2006/relationships"><Relationship Type="http://schemas.openxmlformats.org/officeDocument/2006/relationships/table" Target="/xl/tables/table20.xml" Id="rId1" /></Relationships>
</file>

<file path=xl/worksheets/_rels/sheet18.xml.rels><Relationships xmlns="http://schemas.openxmlformats.org/package/2006/relationships"><Relationship Type="http://schemas.openxmlformats.org/officeDocument/2006/relationships/table" Target="/xl/tables/table21.xml" Id="rId1" /></Relationships>
</file>

<file path=xl/worksheets/_rels/sheet19.xml.rels><Relationships xmlns="http://schemas.openxmlformats.org/package/2006/relationships"><Relationship Type="http://schemas.openxmlformats.org/officeDocument/2006/relationships/table" Target="/xl/tables/table22.xml" Id="rId1" /></Relationships>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40" customWidth="1" min="1" max="1"/>
    <col width="16" customWidth="1" min="2" max="2"/>
    <col width="14" customWidth="1" min="3" max="3"/>
    <col width="18" customWidth="1" min="4" max="4"/>
    <col width="14" customWidth="1" min="5" max="5"/>
    <col width="18" customWidth="1" min="6" max="6"/>
    <col width="20" customWidth="1" min="7" max="7"/>
    <col width="18" customWidth="1" min="8" max="8"/>
    <col width="30" customWidth="1" min="9" max="9"/>
  </cols>
  <sheetData>
    <row r="1">
      <c r="A1" s="1" t="inlineStr">
        <is>
          <t>Sentral Holdings corporate banking portal (Project Gateway): AI-assisted build and 3-year run</t>
        </is>
      </c>
    </row>
    <row r="2">
      <c r="A2" t="inlineStr">
        <is>
          <t>All costs in USD. Cloud: Azure retail list prices in westus3 fetched 2026-09-30, no discounts or reservations. Blue cells are inputs; black cells are formulas; green cells link to other sheets.</t>
        </is>
      </c>
    </row>
    <row r="3">
      <c r="A3" s="2" t="inlineStr">
        <is>
          <t>Inputs</t>
        </is>
      </c>
    </row>
    <row r="4">
      <c r="A4" s="3" t="inlineStr">
        <is>
          <t>Input</t>
        </is>
      </c>
      <c r="B4" s="3" t="inlineStr">
        <is>
          <t>Value</t>
        </is>
      </c>
    </row>
    <row r="5">
      <c r="A5" t="inlineStr">
        <is>
          <t>Days of delivery (working days)</t>
        </is>
      </c>
      <c r="B5" s="4" t="n">
        <v>75</v>
      </c>
    </row>
    <row r="6">
      <c r="A6" t="inlineStr">
        <is>
          <t>Working days per month</t>
        </is>
      </c>
      <c r="B6" s="4" t="n">
        <v>21</v>
      </c>
    </row>
    <row r="7">
      <c r="A7" t="inlineStr">
        <is>
          <t>Months of delivery</t>
        </is>
      </c>
      <c r="B7" s="5">
        <f>DeliveryDays/WorkingDaysPerMonth</f>
        <v/>
      </c>
    </row>
    <row r="8">
      <c r="A8" t="inlineStr">
        <is>
          <t>Hours per month (always-on services)</t>
        </is>
      </c>
      <c r="B8" s="4" t="n">
        <v>730</v>
      </c>
    </row>
    <row r="9">
      <c r="A9" t="inlineStr">
        <is>
          <t>Delivery start date (optional; dates the epics and sprints)</t>
        </is>
      </c>
      <c r="B9" s="6" t="n">
        <v>46265</v>
      </c>
    </row>
    <row r="10">
      <c r="A10" t="inlineStr">
        <is>
          <t>Working days per sprint</t>
        </is>
      </c>
      <c r="B10" s="7" t="n">
        <v>10</v>
      </c>
    </row>
    <row r="11">
      <c r="A11" t="inlineStr">
        <is>
          <t>Years of run after go-live (3 to 5)</t>
        </is>
      </c>
      <c r="B11" s="7" t="n">
        <v>3</v>
      </c>
    </row>
    <row r="12">
      <c r="A12" t="inlineStr">
        <is>
          <t>Yearly increase in run costs</t>
        </is>
      </c>
      <c r="B12" s="8" t="n">
        <v>0.03</v>
      </c>
    </row>
    <row r="13">
      <c r="A13" t="inlineStr">
        <is>
          <t>Run years, with the yearly increase</t>
        </is>
      </c>
      <c r="B13" s="9">
        <f>IF(CostEscalation=0,HorizonYears,((1+CostEscalation)^HorizonYears-1)/CostEscalation)</f>
        <v/>
      </c>
    </row>
    <row r="14">
      <c r="A14" t="inlineStr">
        <is>
          <t>Contingency</t>
        </is>
      </c>
      <c r="B14" s="10" t="n">
        <v>0.1</v>
      </c>
    </row>
    <row r="15">
      <c r="A15" t="inlineStr">
        <is>
          <t>Exchange rate (1 USD = x USD)</t>
        </is>
      </c>
      <c r="B15" s="11" t="n">
        <v>1</v>
      </c>
    </row>
    <row r="16">
      <c r="A16" t="inlineStr">
        <is>
          <t>Exchange rate for Claude prices (1 USD = x USD)</t>
        </is>
      </c>
      <c r="B16" s="11" t="n">
        <v>1</v>
      </c>
    </row>
    <row r="18">
      <c r="A18" s="2" t="inlineStr">
        <is>
          <t>Delivery team (build)</t>
        </is>
      </c>
    </row>
    <row r="19">
      <c r="A19" s="3" t="inlineStr">
        <is>
          <t>Role</t>
        </is>
      </c>
      <c r="B19" s="3" t="inlineStr">
        <is>
          <t>Day rate (USD)</t>
        </is>
      </c>
      <c r="C19" s="3" t="inlineStr">
        <is>
          <t>Employees</t>
        </is>
      </c>
      <c r="D19" s="3" t="inlineStr">
        <is>
          <t>Days on delivery</t>
        </is>
      </c>
      <c r="E19" s="3" t="inlineStr">
        <is>
          <t>Allocation</t>
        </is>
      </c>
      <c r="F19" s="3" t="inlineStr">
        <is>
          <t>Mandays</t>
        </is>
      </c>
      <c r="G19" s="3" t="inlineStr">
        <is>
          <t>Cost (USD)</t>
        </is>
      </c>
      <c r="H19" s="3" t="inlineStr">
        <is>
          <t>Cited from</t>
        </is>
      </c>
    </row>
    <row r="20">
      <c r="A20" t="inlineStr">
        <is>
          <t>Delivery lead</t>
        </is>
      </c>
      <c r="B20" s="12">
        <f>VLOOKUP(A20,'Rate Card'!$A$5:$B$50,2,FALSE)</f>
        <v/>
      </c>
      <c r="C20" s="4" t="n">
        <v>1</v>
      </c>
      <c r="D20" s="13">
        <f>DeliveryDays</f>
        <v/>
      </c>
      <c r="E20" s="10" t="n">
        <v>0.5</v>
      </c>
      <c r="F20" s="13">
        <f>C20*D20*E20</f>
        <v/>
      </c>
      <c r="G20" s="14">
        <f>F20*B20</f>
        <v/>
      </c>
      <c r="H20" t="inlineStr">
        <is>
          <t>assumption: AI-assisted delivery team for 31 stories over 75 working days; synthetic portfolio figure, owner request 2026-09-30</t>
        </is>
      </c>
    </row>
    <row r="21">
      <c r="A21" t="inlineStr">
        <is>
          <t>Solution architect</t>
        </is>
      </c>
      <c r="B21" s="12">
        <f>VLOOKUP(A21,'Rate Card'!$A$5:$B$50,2,FALSE)</f>
        <v/>
      </c>
      <c r="C21" s="4" t="n">
        <v>1</v>
      </c>
      <c r="D21" s="13">
        <f>DeliveryDays</f>
        <v/>
      </c>
      <c r="E21" s="10" t="n">
        <v>0.5</v>
      </c>
      <c r="F21" s="13">
        <f>C21*D21*E21</f>
        <v/>
      </c>
      <c r="G21" s="14">
        <f>F21*B21</f>
        <v/>
      </c>
      <c r="H21" t="inlineStr">
        <is>
          <t>assumption: AI-assisted delivery team for 31 stories over 75 working days; synthetic portfolio figure, owner request 2026-09-30</t>
        </is>
      </c>
    </row>
    <row r="22">
      <c r="A22" t="inlineStr">
        <is>
          <t>Full-stack developer</t>
        </is>
      </c>
      <c r="B22" s="12">
        <f>VLOOKUP(A22,'Rate Card'!$A$5:$B$50,2,FALSE)</f>
        <v/>
      </c>
      <c r="C22" s="4" t="n">
        <v>1</v>
      </c>
      <c r="D22" s="13">
        <f>DeliveryDays</f>
        <v/>
      </c>
      <c r="E22" s="10" t="n">
        <v>1</v>
      </c>
      <c r="F22" s="13">
        <f>C22*D22*E22</f>
        <v/>
      </c>
      <c r="G22" s="14">
        <f>F22*B22</f>
        <v/>
      </c>
      <c r="H22" t="inlineStr">
        <is>
          <t>_bmad-output/specs/spec-corporate-portal-poc/SPEC.md Fluent UI with five screens</t>
        </is>
      </c>
    </row>
    <row r="23">
      <c r="A23" t="inlineStr">
        <is>
          <t>Cloud / DevOps engineer</t>
        </is>
      </c>
      <c r="B23" s="12">
        <f>VLOOKUP(A23,'Rate Card'!$A$5:$B$50,2,FALSE)</f>
        <v/>
      </c>
      <c r="C23" s="4" t="n">
        <v>1</v>
      </c>
      <c r="D23" s="13">
        <f>DeliveryDays</f>
        <v/>
      </c>
      <c r="E23" s="10" t="n">
        <v>1</v>
      </c>
      <c r="F23" s="13">
        <f>C23*D23*E23</f>
        <v/>
      </c>
      <c r="G23" s="14">
        <f>F23*B23</f>
        <v/>
      </c>
      <c r="H23" t="inlineStr">
        <is>
          <t>_bmad-output/specs/spec-corporate-portal-poc/SPEC.md CAP-10</t>
        </is>
      </c>
    </row>
    <row r="24">
      <c r="A24" t="inlineStr">
        <is>
          <t>Data engineer</t>
        </is>
      </c>
      <c r="B24" s="12">
        <f>VLOOKUP(A24,'Rate Card'!$A$5:$B$50,2,FALSE)</f>
        <v/>
      </c>
      <c r="C24" s="4" t="n">
        <v>1</v>
      </c>
      <c r="D24" s="13">
        <f>DeliveryDays</f>
        <v/>
      </c>
      <c r="E24" s="10" t="n">
        <v>1</v>
      </c>
      <c r="F24" s="13">
        <f>C24*D24*E24</f>
        <v/>
      </c>
      <c r="G24" s="14">
        <f>F24*B24</f>
        <v/>
      </c>
      <c r="H24" t="inlineStr">
        <is>
          <t>_bmad-output/specs/spec-corporate-portal-poc/SPEC.md CAP-6</t>
        </is>
      </c>
    </row>
    <row r="25">
      <c r="A25" t="inlineStr">
        <is>
          <t>QA engineer</t>
        </is>
      </c>
      <c r="B25" s="12">
        <f>VLOOKUP(A25,'Rate Card'!$A$5:$B$50,2,FALSE)</f>
        <v/>
      </c>
      <c r="C25" s="4" t="n">
        <v>1</v>
      </c>
      <c r="D25" s="13">
        <f>DeliveryDays</f>
        <v/>
      </c>
      <c r="E25" s="10" t="n">
        <v>0.5</v>
      </c>
      <c r="F25" s="13">
        <f>C25*D25*E25</f>
        <v/>
      </c>
      <c r="G25" s="14">
        <f>F25*B25</f>
        <v/>
      </c>
      <c r="H25" t="inlineStr">
        <is>
          <t>assumption: AI-assisted delivery team for 31 stories over 75 working days; synthetic portfolio figure, owner request 2026-09-30</t>
        </is>
      </c>
    </row>
    <row r="26">
      <c r="B26" s="12">
        <f>IF(A26="","",VLOOKUP(A26,'Rate Card'!$A$5:$B$50,2,FALSE))</f>
        <v/>
      </c>
      <c r="C26" s="15" t="n"/>
      <c r="D26" s="15" t="n"/>
      <c r="E26" s="10" t="n"/>
      <c r="F26" s="13">
        <f>IF(A26="","",C26*D26*E26)</f>
        <v/>
      </c>
      <c r="G26" s="14">
        <f>IF(A26="","",F26*B26)</f>
        <v/>
      </c>
    </row>
    <row r="27">
      <c r="B27" s="12">
        <f>IF(A27="","",VLOOKUP(A27,'Rate Card'!$A$5:$B$50,2,FALSE))</f>
        <v/>
      </c>
      <c r="C27" s="15" t="n"/>
      <c r="D27" s="15" t="n"/>
      <c r="E27" s="10" t="n"/>
      <c r="F27" s="13">
        <f>IF(A27="","",C27*D27*E27)</f>
        <v/>
      </c>
      <c r="G27" s="14">
        <f>IF(A27="","",F27*B27)</f>
        <v/>
      </c>
    </row>
    <row r="28">
      <c r="B28" s="12">
        <f>IF(A28="","",VLOOKUP(A28,'Rate Card'!$A$5:$B$50,2,FALSE))</f>
        <v/>
      </c>
      <c r="C28" s="15" t="n"/>
      <c r="D28" s="15" t="n"/>
      <c r="E28" s="10" t="n"/>
      <c r="F28" s="13">
        <f>IF(A28="","",C28*D28*E28)</f>
        <v/>
      </c>
      <c r="G28" s="14">
        <f>IF(A28="","",F28*B28)</f>
        <v/>
      </c>
    </row>
    <row r="29">
      <c r="A29" s="16" t="inlineStr">
        <is>
          <t>Total</t>
        </is>
      </c>
      <c r="B29" s="16" t="n"/>
      <c r="C29" s="17">
        <f>SUM(C20:C28)</f>
        <v/>
      </c>
      <c r="D29" s="16" t="n"/>
      <c r="E29" s="16" t="n"/>
      <c r="F29" s="17">
        <f>SUM(F20:F28)</f>
        <v/>
      </c>
      <c r="G29" s="18">
        <f>SUM(G20:G28)</f>
        <v/>
      </c>
      <c r="H29" s="16" t="n"/>
    </row>
    <row r="31">
      <c r="A31" s="2" t="inlineStr">
        <is>
          <t>Run support (OPEX): IT support and maintenance after go-live</t>
        </is>
      </c>
    </row>
    <row r="32">
      <c r="A32" s="3" t="inlineStr">
        <is>
          <t>Role</t>
        </is>
      </c>
      <c r="B32" s="3" t="inlineStr">
        <is>
          <t>Day rate (USD)</t>
        </is>
      </c>
      <c r="C32" s="3" t="inlineStr">
        <is>
          <t>Mandays per year</t>
        </is>
      </c>
      <c r="D32" s="3" t="inlineStr">
        <is>
          <t>Cost per year (USD)</t>
        </is>
      </c>
      <c r="E32" s="3" t="inlineStr">
        <is>
          <t>Cited from</t>
        </is>
      </c>
    </row>
    <row r="33">
      <c r="A33" t="inlineStr">
        <is>
          <t>Support engineer</t>
        </is>
      </c>
      <c r="B33" s="12">
        <f>VLOOKUP(A33,'Rate Card'!$A$5:$B$50,2,FALSE)</f>
        <v/>
      </c>
      <c r="C33" s="4" t="n">
        <v>60</v>
      </c>
      <c r="D33" s="14">
        <f>C33*B33</f>
        <v/>
      </c>
      <c r="E33" t="inlineStr">
        <is>
          <t>assumption: L2 support, patching and on-call for the portal; synthetic portfolio figure, owner request 2026-09-30</t>
        </is>
      </c>
    </row>
    <row r="34">
      <c r="A34" t="inlineStr">
        <is>
          <t>Cloud / DevOps engineer</t>
        </is>
      </c>
      <c r="B34" s="12">
        <f>VLOOKUP(A34,'Rate Card'!$A$5:$B$50,2,FALSE)</f>
        <v/>
      </c>
      <c r="C34" s="4" t="n">
        <v>30</v>
      </c>
      <c r="D34" s="14">
        <f>C34*B34</f>
        <v/>
      </c>
      <c r="E34" t="inlineStr">
        <is>
          <t>assumption: AKS, Istio, Kong and Vault upgrades in two regions; synthetic portfolio figure, owner request 2026-09-30</t>
        </is>
      </c>
    </row>
    <row r="35">
      <c r="A35" t="inlineStr">
        <is>
          <t>Data engineer</t>
        </is>
      </c>
      <c r="B35" s="12">
        <f>VLOOKUP(A35,'Rate Card'!$A$5:$B$50,2,FALSE)</f>
        <v/>
      </c>
      <c r="C35" s="4" t="n">
        <v>20</v>
      </c>
      <c r="D35" s="14">
        <f>C35*B35</f>
        <v/>
      </c>
      <c r="E35" t="inlineStr">
        <is>
          <t>assumption: pipeline care and model retraining; synthetic portfolio figure, owner request 2026-09-30</t>
        </is>
      </c>
    </row>
    <row r="36">
      <c r="B36" s="12">
        <f>IF(A36="","",VLOOKUP(A36,'Rate Card'!$A$5:$B$50,2,FALSE))</f>
        <v/>
      </c>
      <c r="C36" s="15" t="n"/>
      <c r="D36" s="14">
        <f>IF(A36="","",C36*B36)</f>
        <v/>
      </c>
    </row>
    <row r="37">
      <c r="B37" s="12">
        <f>IF(A37="","",VLOOKUP(A37,'Rate Card'!$A$5:$B$50,2,FALSE))</f>
        <v/>
      </c>
      <c r="C37" s="15" t="n"/>
      <c r="D37" s="14">
        <f>IF(A37="","",C37*B37)</f>
        <v/>
      </c>
    </row>
    <row r="38">
      <c r="B38" s="12">
        <f>IF(A38="","",VLOOKUP(A38,'Rate Card'!$A$5:$B$50,2,FALSE))</f>
        <v/>
      </c>
      <c r="C38" s="15" t="n"/>
      <c r="D38" s="14">
        <f>IF(A38="","",C38*B38)</f>
        <v/>
      </c>
    </row>
    <row r="39">
      <c r="A39" s="16" t="inlineStr">
        <is>
          <t>Total</t>
        </is>
      </c>
      <c r="B39" s="16" t="n"/>
      <c r="C39" s="17">
        <f>SUM(C33:C38)</f>
        <v/>
      </c>
      <c r="D39" s="18">
        <f>SUM(D33:D38)</f>
        <v/>
      </c>
      <c r="E39" s="16" t="n"/>
    </row>
    <row r="41">
      <c r="A41" s="2" t="inlineStr">
        <is>
          <t>Cost summary</t>
        </is>
      </c>
    </row>
    <row r="42">
      <c r="A42" s="3" t="inlineStr">
        <is>
          <t>Item</t>
        </is>
      </c>
      <c r="B42" s="3" t="inlineStr">
        <is>
          <t>Monthly (USD)</t>
        </is>
      </c>
      <c r="C42" s="3" t="inlineStr">
        <is>
          <t>Months in delivery</t>
        </is>
      </c>
      <c r="D42" s="3" t="inlineStr">
        <is>
          <t>Delivery cost (USD)</t>
        </is>
      </c>
      <c r="E42" s="3" t="inlineStr">
        <is>
          <t>Run months per year</t>
        </is>
      </c>
      <c r="F42" s="3" t="inlineStr">
        <is>
          <t>Run cost per year (USD)</t>
        </is>
      </c>
      <c r="G42" s="3" t="inlineStr">
        <is>
          <t>Run cost over the horizon (USD)</t>
        </is>
      </c>
      <c r="H42" s="3" t="inlineStr">
        <is>
          <t>Total (USD)</t>
        </is>
      </c>
      <c r="I42" s="3" t="inlineStr">
        <is>
          <t>From</t>
        </is>
      </c>
    </row>
    <row r="43">
      <c r="A43" t="inlineStr">
        <is>
          <t>Dev environment</t>
        </is>
      </c>
      <c r="B43" s="12">
        <f>'Dev'!$I$23</f>
        <v/>
      </c>
      <c r="C43" s="5">
        <f>DeliveryMonths</f>
        <v/>
      </c>
      <c r="D43" s="14">
        <f>B43*C43</f>
        <v/>
      </c>
      <c r="E43" s="19" t="n">
        <v>12</v>
      </c>
      <c r="F43" s="14">
        <f>B43*E43</f>
        <v/>
      </c>
      <c r="G43" s="14">
        <f>F43*HorizonFactor</f>
        <v/>
      </c>
      <c r="H43" s="14">
        <f>D43+G43</f>
        <v/>
      </c>
      <c r="I43" t="inlineStr">
        <is>
          <t>Dev sheet</t>
        </is>
      </c>
    </row>
    <row r="44">
      <c r="A44" t="inlineStr">
        <is>
          <t>Test environment</t>
        </is>
      </c>
      <c r="B44" s="12">
        <f>'Test'!$I$22</f>
        <v/>
      </c>
      <c r="C44" s="5">
        <f>DeliveryMonths</f>
        <v/>
      </c>
      <c r="D44" s="14">
        <f>B44*C44</f>
        <v/>
      </c>
      <c r="E44" s="19" t="n">
        <v>12</v>
      </c>
      <c r="F44" s="14">
        <f>B44*E44</f>
        <v/>
      </c>
      <c r="G44" s="14">
        <f>F44*HorizonFactor</f>
        <v/>
      </c>
      <c r="H44" s="14">
        <f>D44+G44</f>
        <v/>
      </c>
      <c r="I44" t="inlineStr">
        <is>
          <t>Test sheet</t>
        </is>
      </c>
    </row>
    <row r="45">
      <c r="A45" t="inlineStr">
        <is>
          <t>UAT environment</t>
        </is>
      </c>
      <c r="B45" s="12">
        <f>'UAT'!$I$26</f>
        <v/>
      </c>
      <c r="C45" s="19" t="n">
        <v>2</v>
      </c>
      <c r="D45" s="14">
        <f>B45*C45</f>
        <v/>
      </c>
      <c r="E45" s="19" t="n">
        <v>12</v>
      </c>
      <c r="F45" s="14">
        <f>B45*E45</f>
        <v/>
      </c>
      <c r="G45" s="14">
        <f>F45*HorizonFactor</f>
        <v/>
      </c>
      <c r="H45" s="14">
        <f>D45+G45</f>
        <v/>
      </c>
      <c r="I45" t="inlineStr">
        <is>
          <t>UAT sheet</t>
        </is>
      </c>
    </row>
    <row r="46">
      <c r="A46" t="inlineStr">
        <is>
          <t>Prod environment</t>
        </is>
      </c>
      <c r="B46" s="12">
        <f>'Prod'!$I$31</f>
        <v/>
      </c>
      <c r="C46" s="19" t="n">
        <v>1</v>
      </c>
      <c r="D46" s="14">
        <f>B46*C46</f>
        <v/>
      </c>
      <c r="E46" s="19" t="n">
        <v>12</v>
      </c>
      <c r="F46" s="14">
        <f>B46*E46</f>
        <v/>
      </c>
      <c r="G46" s="14">
        <f>F46*HorizonFactor</f>
        <v/>
      </c>
      <c r="H46" s="14">
        <f>D46+G46</f>
        <v/>
      </c>
      <c r="I46" t="inlineStr">
        <is>
          <t>Prod sheet</t>
        </is>
      </c>
    </row>
    <row r="47">
      <c r="A47" t="inlineStr">
        <is>
          <t>Delivery team</t>
        </is>
      </c>
      <c r="D47" s="12">
        <f>G29</f>
        <v/>
      </c>
      <c r="H47" s="14">
        <f>D47+G47</f>
        <v/>
      </c>
      <c r="I47" t="inlineStr">
        <is>
          <t>Delivery team table above</t>
        </is>
      </c>
    </row>
    <row r="48">
      <c r="A48" t="inlineStr">
        <is>
          <t>Run support (OPEX)</t>
        </is>
      </c>
      <c r="F48" s="12">
        <f>D39</f>
        <v/>
      </c>
      <c r="G48" s="14">
        <f>F48*HorizonFactor</f>
        <v/>
      </c>
      <c r="H48" s="14">
        <f>D48+G48</f>
        <v/>
      </c>
      <c r="I48" t="inlineStr">
        <is>
          <t>Run support table above</t>
        </is>
      </c>
    </row>
    <row r="49">
      <c r="A49" t="inlineStr">
        <is>
          <t>Recurring run costs</t>
        </is>
      </c>
      <c r="F49" s="12">
        <f>'Run Costs'!$C$9</f>
        <v/>
      </c>
      <c r="G49" s="14">
        <f>F49*HorizonFactor</f>
        <v/>
      </c>
      <c r="H49" s="14">
        <f>D49+G49</f>
        <v/>
      </c>
      <c r="I49" t="inlineStr">
        <is>
          <t>Run Costs sheet</t>
        </is>
      </c>
    </row>
    <row r="50">
      <c r="A50" t="inlineStr">
        <is>
          <t>Other one-off costs</t>
        </is>
      </c>
      <c r="D50" s="12">
        <f>'Other Costs'!$C$10</f>
        <v/>
      </c>
      <c r="H50" s="14">
        <f>D50+G50</f>
        <v/>
      </c>
      <c r="I50" t="inlineStr">
        <is>
          <t>Other Costs sheet</t>
        </is>
      </c>
    </row>
    <row r="51">
      <c r="A51" t="inlineStr">
        <is>
          <t>Claude API usage (actual, API list prices)</t>
        </is>
      </c>
      <c r="D51" s="12">
        <f>'Claude Usage'!$I$6</f>
        <v/>
      </c>
      <c r="H51" s="14">
        <f>D51+G51</f>
        <v/>
      </c>
      <c r="I51" t="inlineStr">
        <is>
          <t>Claude Usage sheet</t>
        </is>
      </c>
    </row>
    <row r="52">
      <c r="A52" s="16" t="inlineStr">
        <is>
          <t>Subtotal</t>
        </is>
      </c>
      <c r="B52" s="16" t="n"/>
      <c r="C52" s="16" t="n"/>
      <c r="D52" s="18">
        <f>SUM(D43:D51)</f>
        <v/>
      </c>
      <c r="E52" s="16" t="n"/>
      <c r="F52" s="18">
        <f>SUM(F43:F51)</f>
        <v/>
      </c>
      <c r="G52" s="18">
        <f>SUM(G43:G51)</f>
        <v/>
      </c>
      <c r="H52" s="18">
        <f>SUM(H43:H51)</f>
        <v/>
      </c>
      <c r="I52" s="16" t="n"/>
    </row>
    <row r="53">
      <c r="A53" t="inlineStr">
        <is>
          <t>Contingency</t>
        </is>
      </c>
      <c r="D53" s="14">
        <f>D52*Contingency</f>
        <v/>
      </c>
      <c r="F53" s="14">
        <f>F52*Contingency</f>
        <v/>
      </c>
      <c r="G53" s="14">
        <f>G52*Contingency</f>
        <v/>
      </c>
      <c r="H53" s="14">
        <f>D53+G53</f>
        <v/>
      </c>
    </row>
    <row r="54">
      <c r="A54" s="20" t="inlineStr">
        <is>
          <t>Grand total</t>
        </is>
      </c>
      <c r="B54" s="16" t="n"/>
      <c r="C54" s="16" t="n"/>
      <c r="D54" s="21">
        <f>D52+D53</f>
        <v/>
      </c>
      <c r="E54" s="16" t="n"/>
      <c r="F54" s="21">
        <f>F52+F53</f>
        <v/>
      </c>
      <c r="G54" s="21">
        <f>G52+G53</f>
        <v/>
      </c>
      <c r="H54" s="21">
        <f>H52+H53</f>
        <v/>
      </c>
      <c r="I54" s="16" t="n"/>
    </row>
  </sheetData>
  <dataValidations count="1">
    <dataValidation sqref="B11" showDropDown="0" showInputMessage="0" showErrorMessage="1" allowBlank="0" error="3 to 5 years" type="whole" operator="between">
      <formula1>3</formula1>
      <formula2>5</formula2>
    </dataValidation>
  </dataValidation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I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58" customWidth="1" min="2" max="2"/>
    <col width="16" customWidth="1" min="3" max="3"/>
    <col width="16" customWidth="1" min="4" max="4"/>
    <col width="16" customWidth="1" min="5" max="5"/>
    <col width="16" customWidth="1" min="6" max="6"/>
    <col width="16" customWidth="1" min="7" max="7"/>
    <col width="16" customWidth="1" min="8" max="8"/>
    <col width="18" customWidth="1" min="9" max="9"/>
  </cols>
  <sheetData>
    <row r="1">
      <c r="A1" s="1" t="inlineStr">
        <is>
          <t>Multi-year view</t>
        </is>
      </c>
    </row>
    <row r="2">
      <c r="A2" t="inlineStr">
        <is>
          <t>In USD. Build is the delivery; each year after go-live carries the run costs, raised by the yearly increase, and the revenue given for it. Years past the horizon (Overall input) show zero. Contingency applies to every cost.</t>
        </is>
      </c>
    </row>
    <row r="4">
      <c r="A4" s="3" t="inlineStr">
        <is>
          <t>Category</t>
        </is>
      </c>
      <c r="B4" s="3" t="inlineStr">
        <is>
          <t>Item</t>
        </is>
      </c>
      <c r="C4" s="3" t="inlineStr">
        <is>
          <t>Build</t>
        </is>
      </c>
      <c r="D4" s="3" t="inlineStr">
        <is>
          <t>Year 1</t>
        </is>
      </c>
      <c r="E4" s="3" t="inlineStr">
        <is>
          <t>Year 2</t>
        </is>
      </c>
      <c r="F4" s="3" t="inlineStr">
        <is>
          <t>Year 3</t>
        </is>
      </c>
      <c r="G4" s="3" t="inlineStr">
        <is>
          <t>Year 4</t>
        </is>
      </c>
      <c r="H4" s="3" t="inlineStr">
        <is>
          <t>Year 5</t>
        </is>
      </c>
      <c r="I4" s="3" t="inlineStr">
        <is>
          <t>Total</t>
        </is>
      </c>
    </row>
    <row r="5">
      <c r="A5" t="inlineStr">
        <is>
          <t>Revenue</t>
        </is>
      </c>
      <c r="B5" s="22">
        <f>IF('Revenue'!$B$5="","(spare revenue row)",'Revenue'!$B$5)</f>
        <v/>
      </c>
      <c r="C5" s="14" t="n">
        <v>0</v>
      </c>
      <c r="D5" s="14">
        <f>IF(1&lt;=HorizonYears,'Revenue'!D$5,0)</f>
        <v/>
      </c>
      <c r="E5" s="14">
        <f>IF(2&lt;=HorizonYears,'Revenue'!E$5,0)</f>
        <v/>
      </c>
      <c r="F5" s="14">
        <f>IF(3&lt;=HorizonYears,'Revenue'!F$5,0)</f>
        <v/>
      </c>
      <c r="G5" s="14">
        <f>IF(4&lt;=HorizonYears,'Revenue'!G$5,0)</f>
        <v/>
      </c>
      <c r="H5" s="14">
        <f>IF(5&lt;=HorizonYears,'Revenue'!H$5,0)</f>
        <v/>
      </c>
      <c r="I5" s="14">
        <f>SUM(C5:H5)</f>
        <v/>
      </c>
    </row>
    <row r="6">
      <c r="A6" t="inlineStr">
        <is>
          <t>Revenue</t>
        </is>
      </c>
      <c r="B6" s="22">
        <f>IF('Revenue'!$B$6="","(spare revenue row)",'Revenue'!$B$6)</f>
        <v/>
      </c>
      <c r="C6" s="14" t="n">
        <v>0</v>
      </c>
      <c r="D6" s="14">
        <f>IF(1&lt;=HorizonYears,'Revenue'!D$6,0)</f>
        <v/>
      </c>
      <c r="E6" s="14">
        <f>IF(2&lt;=HorizonYears,'Revenue'!E$6,0)</f>
        <v/>
      </c>
      <c r="F6" s="14">
        <f>IF(3&lt;=HorizonYears,'Revenue'!F$6,0)</f>
        <v/>
      </c>
      <c r="G6" s="14">
        <f>IF(4&lt;=HorizonYears,'Revenue'!G$6,0)</f>
        <v/>
      </c>
      <c r="H6" s="14">
        <f>IF(5&lt;=HorizonYears,'Revenue'!H$6,0)</f>
        <v/>
      </c>
      <c r="I6" s="14">
        <f>SUM(C6:H6)</f>
        <v/>
      </c>
    </row>
    <row r="7">
      <c r="A7" t="inlineStr">
        <is>
          <t>Revenue</t>
        </is>
      </c>
      <c r="B7" s="22">
        <f>IF('Revenue'!$B$7="","(spare revenue row)",'Revenue'!$B$7)</f>
        <v/>
      </c>
      <c r="C7" s="14" t="n">
        <v>0</v>
      </c>
      <c r="D7" s="14">
        <f>IF(1&lt;=HorizonYears,'Revenue'!D$7,0)</f>
        <v/>
      </c>
      <c r="E7" s="14">
        <f>IF(2&lt;=HorizonYears,'Revenue'!E$7,0)</f>
        <v/>
      </c>
      <c r="F7" s="14">
        <f>IF(3&lt;=HorizonYears,'Revenue'!F$7,0)</f>
        <v/>
      </c>
      <c r="G7" s="14">
        <f>IF(4&lt;=HorizonYears,'Revenue'!G$7,0)</f>
        <v/>
      </c>
      <c r="H7" s="14">
        <f>IF(5&lt;=HorizonYears,'Revenue'!H$7,0)</f>
        <v/>
      </c>
      <c r="I7" s="14">
        <f>SUM(C7:H7)</f>
        <v/>
      </c>
    </row>
    <row r="8">
      <c r="A8" t="inlineStr">
        <is>
          <t>Cost</t>
        </is>
      </c>
      <c r="B8" t="inlineStr">
        <is>
          <t>Build: delivery team, environments during delivery, one-off costs, Claude usage</t>
        </is>
      </c>
      <c r="C8" s="12">
        <f>'Overall'!$D$52</f>
        <v/>
      </c>
      <c r="D8" s="14" t="n">
        <v>0</v>
      </c>
      <c r="E8" s="14" t="n">
        <v>0</v>
      </c>
      <c r="F8" s="14" t="n">
        <v>0</v>
      </c>
      <c r="G8" s="14" t="n">
        <v>0</v>
      </c>
      <c r="H8" s="14" t="n">
        <v>0</v>
      </c>
      <c r="I8" s="14">
        <f>SUM(C8:H8)</f>
        <v/>
      </c>
    </row>
    <row r="9">
      <c r="A9" t="inlineStr">
        <is>
          <t>Cost</t>
        </is>
      </c>
      <c r="B9" t="inlineStr">
        <is>
          <t>Dev environment (run)</t>
        </is>
      </c>
      <c r="C9" s="14" t="n">
        <v>0</v>
      </c>
      <c r="D9" s="14">
        <f>IF(1&lt;=HorizonYears,'Overall'!$F$43*(1+CostEscalation)^0,0)</f>
        <v/>
      </c>
      <c r="E9" s="14">
        <f>IF(2&lt;=HorizonYears,'Overall'!$F$43*(1+CostEscalation)^1,0)</f>
        <v/>
      </c>
      <c r="F9" s="14">
        <f>IF(3&lt;=HorizonYears,'Overall'!$F$43*(1+CostEscalation)^2,0)</f>
        <v/>
      </c>
      <c r="G9" s="14">
        <f>IF(4&lt;=HorizonYears,'Overall'!$F$43*(1+CostEscalation)^3,0)</f>
        <v/>
      </c>
      <c r="H9" s="14">
        <f>IF(5&lt;=HorizonYears,'Overall'!$F$43*(1+CostEscalation)^4,0)</f>
        <v/>
      </c>
      <c r="I9" s="14">
        <f>SUM(C9:H9)</f>
        <v/>
      </c>
    </row>
    <row r="10">
      <c r="A10" t="inlineStr">
        <is>
          <t>Cost</t>
        </is>
      </c>
      <c r="B10" t="inlineStr">
        <is>
          <t>Test environment (run)</t>
        </is>
      </c>
      <c r="C10" s="14" t="n">
        <v>0</v>
      </c>
      <c r="D10" s="14">
        <f>IF(1&lt;=HorizonYears,'Overall'!$F$44*(1+CostEscalation)^0,0)</f>
        <v/>
      </c>
      <c r="E10" s="14">
        <f>IF(2&lt;=HorizonYears,'Overall'!$F$44*(1+CostEscalation)^1,0)</f>
        <v/>
      </c>
      <c r="F10" s="14">
        <f>IF(3&lt;=HorizonYears,'Overall'!$F$44*(1+CostEscalation)^2,0)</f>
        <v/>
      </c>
      <c r="G10" s="14">
        <f>IF(4&lt;=HorizonYears,'Overall'!$F$44*(1+CostEscalation)^3,0)</f>
        <v/>
      </c>
      <c r="H10" s="14">
        <f>IF(5&lt;=HorizonYears,'Overall'!$F$44*(1+CostEscalation)^4,0)</f>
        <v/>
      </c>
      <c r="I10" s="14">
        <f>SUM(C10:H10)</f>
        <v/>
      </c>
    </row>
    <row r="11">
      <c r="A11" t="inlineStr">
        <is>
          <t>Cost</t>
        </is>
      </c>
      <c r="B11" t="inlineStr">
        <is>
          <t>UAT environment (run)</t>
        </is>
      </c>
      <c r="C11" s="14" t="n">
        <v>0</v>
      </c>
      <c r="D11" s="14">
        <f>IF(1&lt;=HorizonYears,'Overall'!$F$45*(1+CostEscalation)^0,0)</f>
        <v/>
      </c>
      <c r="E11" s="14">
        <f>IF(2&lt;=HorizonYears,'Overall'!$F$45*(1+CostEscalation)^1,0)</f>
        <v/>
      </c>
      <c r="F11" s="14">
        <f>IF(3&lt;=HorizonYears,'Overall'!$F$45*(1+CostEscalation)^2,0)</f>
        <v/>
      </c>
      <c r="G11" s="14">
        <f>IF(4&lt;=HorizonYears,'Overall'!$F$45*(1+CostEscalation)^3,0)</f>
        <v/>
      </c>
      <c r="H11" s="14">
        <f>IF(5&lt;=HorizonYears,'Overall'!$F$45*(1+CostEscalation)^4,0)</f>
        <v/>
      </c>
      <c r="I11" s="14">
        <f>SUM(C11:H11)</f>
        <v/>
      </c>
    </row>
    <row r="12">
      <c r="A12" t="inlineStr">
        <is>
          <t>Cost</t>
        </is>
      </c>
      <c r="B12" t="inlineStr">
        <is>
          <t>Prod environment (run)</t>
        </is>
      </c>
      <c r="C12" s="14" t="n">
        <v>0</v>
      </c>
      <c r="D12" s="14">
        <f>IF(1&lt;=HorizonYears,'Overall'!$F$46*(1+CostEscalation)^0,0)</f>
        <v/>
      </c>
      <c r="E12" s="14">
        <f>IF(2&lt;=HorizonYears,'Overall'!$F$46*(1+CostEscalation)^1,0)</f>
        <v/>
      </c>
      <c r="F12" s="14">
        <f>IF(3&lt;=HorizonYears,'Overall'!$F$46*(1+CostEscalation)^2,0)</f>
        <v/>
      </c>
      <c r="G12" s="14">
        <f>IF(4&lt;=HorizonYears,'Overall'!$F$46*(1+CostEscalation)^3,0)</f>
        <v/>
      </c>
      <c r="H12" s="14">
        <f>IF(5&lt;=HorizonYears,'Overall'!$F$46*(1+CostEscalation)^4,0)</f>
        <v/>
      </c>
      <c r="I12" s="14">
        <f>SUM(C12:H12)</f>
        <v/>
      </c>
    </row>
    <row r="13">
      <c r="A13" t="inlineStr">
        <is>
          <t>Cost</t>
        </is>
      </c>
      <c r="B13" t="inlineStr">
        <is>
          <t>Run support (OPEX)</t>
        </is>
      </c>
      <c r="C13" s="14" t="n">
        <v>0</v>
      </c>
      <c r="D13" s="14">
        <f>IF(1&lt;=HorizonYears,'Overall'!$F$48*(1+CostEscalation)^0,0)</f>
        <v/>
      </c>
      <c r="E13" s="14">
        <f>IF(2&lt;=HorizonYears,'Overall'!$F$48*(1+CostEscalation)^1,0)</f>
        <v/>
      </c>
      <c r="F13" s="14">
        <f>IF(3&lt;=HorizonYears,'Overall'!$F$48*(1+CostEscalation)^2,0)</f>
        <v/>
      </c>
      <c r="G13" s="14">
        <f>IF(4&lt;=HorizonYears,'Overall'!$F$48*(1+CostEscalation)^3,0)</f>
        <v/>
      </c>
      <c r="H13" s="14">
        <f>IF(5&lt;=HorizonYears,'Overall'!$F$48*(1+CostEscalation)^4,0)</f>
        <v/>
      </c>
      <c r="I13" s="14">
        <f>SUM(C13:H13)</f>
        <v/>
      </c>
    </row>
    <row r="14">
      <c r="A14" t="inlineStr">
        <is>
          <t>Cost</t>
        </is>
      </c>
      <c r="B14" t="inlineStr">
        <is>
          <t>Recurring run costs</t>
        </is>
      </c>
      <c r="C14" s="14" t="n">
        <v>0</v>
      </c>
      <c r="D14" s="14">
        <f>IF(1&lt;=HorizonYears,'Overall'!$F$49*(1+CostEscalation)^0,0)</f>
        <v/>
      </c>
      <c r="E14" s="14">
        <f>IF(2&lt;=HorizonYears,'Overall'!$F$49*(1+CostEscalation)^1,0)</f>
        <v/>
      </c>
      <c r="F14" s="14">
        <f>IF(3&lt;=HorizonYears,'Overall'!$F$49*(1+CostEscalation)^2,0)</f>
        <v/>
      </c>
      <c r="G14" s="14">
        <f>IF(4&lt;=HorizonYears,'Overall'!$F$49*(1+CostEscalation)^3,0)</f>
        <v/>
      </c>
      <c r="H14" s="14">
        <f>IF(5&lt;=HorizonYears,'Overall'!$F$49*(1+CostEscalation)^4,0)</f>
        <v/>
      </c>
      <c r="I14" s="14">
        <f>SUM(C14:H14)</f>
        <v/>
      </c>
    </row>
    <row r="15">
      <c r="A15" t="inlineStr">
        <is>
          <t>Contingency</t>
        </is>
      </c>
      <c r="B15" t="inlineStr">
        <is>
          <t>Contingency on every cost</t>
        </is>
      </c>
      <c r="C15" s="14">
        <f>SUMIF($A$5:$A$14,"Cost",C5:C14)*Contingency</f>
        <v/>
      </c>
      <c r="D15" s="14">
        <f>SUMIF($A$5:$A$14,"Cost",D5:D14)*Contingency</f>
        <v/>
      </c>
      <c r="E15" s="14">
        <f>SUMIF($A$5:$A$14,"Cost",E5:E14)*Contingency</f>
        <v/>
      </c>
      <c r="F15" s="14">
        <f>SUMIF($A$5:$A$14,"Cost",F5:F14)*Contingency</f>
        <v/>
      </c>
      <c r="G15" s="14">
        <f>SUMIF($A$5:$A$14,"Cost",G5:G14)*Contingency</f>
        <v/>
      </c>
      <c r="H15" s="14">
        <f>SUMIF($A$5:$A$14,"Cost",H5:H14)*Contingency</f>
        <v/>
      </c>
      <c r="I15" s="14">
        <f>SUM(C15:H15)</f>
        <v/>
      </c>
    </row>
    <row r="16">
      <c r="A16" s="16" t="inlineStr">
        <is>
          <t>Total revenue</t>
        </is>
      </c>
      <c r="B16" s="16" t="n"/>
      <c r="C16" s="18">
        <f>SUMIF($A$5:$A$15,"Revenue",C5:C15)</f>
        <v/>
      </c>
      <c r="D16" s="18">
        <f>SUMIF($A$5:$A$15,"Revenue",D5:D15)</f>
        <v/>
      </c>
      <c r="E16" s="18">
        <f>SUMIF($A$5:$A$15,"Revenue",E5:E15)</f>
        <v/>
      </c>
      <c r="F16" s="18">
        <f>SUMIF($A$5:$A$15,"Revenue",F5:F15)</f>
        <v/>
      </c>
      <c r="G16" s="18">
        <f>SUMIF($A$5:$A$15,"Revenue",G5:G15)</f>
        <v/>
      </c>
      <c r="H16" s="18">
        <f>SUMIF($A$5:$A$15,"Revenue",H5:H15)</f>
        <v/>
      </c>
      <c r="I16" s="18">
        <f>SUMIF($A$5:$A$15,"Revenue",I5:I15)</f>
        <v/>
      </c>
    </row>
    <row r="17">
      <c r="A17" s="23" t="inlineStr">
        <is>
          <t>Total costs</t>
        </is>
      </c>
      <c r="C17" s="14">
        <f>SUMIF($A$5:$A$15,"Cost",C5:C15)+SUMIF($A$5:$A$15,"Contingency",C5:C15)</f>
        <v/>
      </c>
      <c r="D17" s="14">
        <f>SUMIF($A$5:$A$15,"Cost",D5:D15)+SUMIF($A$5:$A$15,"Contingency",D5:D15)</f>
        <v/>
      </c>
      <c r="E17" s="14">
        <f>SUMIF($A$5:$A$15,"Cost",E5:E15)+SUMIF($A$5:$A$15,"Contingency",E5:E15)</f>
        <v/>
      </c>
      <c r="F17" s="14">
        <f>SUMIF($A$5:$A$15,"Cost",F5:F15)+SUMIF($A$5:$A$15,"Contingency",F5:F15)</f>
        <v/>
      </c>
      <c r="G17" s="14">
        <f>SUMIF($A$5:$A$15,"Cost",G5:G15)+SUMIF($A$5:$A$15,"Contingency",G5:G15)</f>
        <v/>
      </c>
      <c r="H17" s="14">
        <f>SUMIF($A$5:$A$15,"Cost",H5:H15)+SUMIF($A$5:$A$15,"Contingency",H5:H15)</f>
        <v/>
      </c>
      <c r="I17" s="14">
        <f>SUMIF($A$5:$A$15,"Cost",I5:I15)+SUMIF($A$5:$A$15,"Contingency",I5:I15)</f>
        <v/>
      </c>
    </row>
    <row r="18">
      <c r="A18" s="23" t="inlineStr">
        <is>
          <t>Net</t>
        </is>
      </c>
      <c r="C18" s="14">
        <f>C16-C17</f>
        <v/>
      </c>
      <c r="D18" s="14">
        <f>D16-D17</f>
        <v/>
      </c>
      <c r="E18" s="14">
        <f>E16-E17</f>
        <v/>
      </c>
      <c r="F18" s="14">
        <f>F16-F17</f>
        <v/>
      </c>
      <c r="G18" s="14">
        <f>G16-G17</f>
        <v/>
      </c>
      <c r="H18" s="14">
        <f>H16-H17</f>
        <v/>
      </c>
      <c r="I18" s="14">
        <f>I16-I17</f>
        <v/>
      </c>
    </row>
    <row r="19">
      <c r="A19" s="23" t="inlineStr">
        <is>
          <t>Cumulative net</t>
        </is>
      </c>
      <c r="C19" s="14">
        <f>C18</f>
        <v/>
      </c>
      <c r="D19" s="14">
        <f>C19+D18</f>
        <v/>
      </c>
      <c r="E19" s="14">
        <f>D19+E18</f>
        <v/>
      </c>
      <c r="F19" s="14">
        <f>E19+F18</f>
        <v/>
      </c>
      <c r="G19" s="14">
        <f>F19+G18</f>
        <v/>
      </c>
      <c r="H19" s="14">
        <f>G19+H18</f>
        <v/>
      </c>
      <c r="I19" s="14">
        <f>H19</f>
        <v/>
      </c>
    </row>
    <row r="21">
      <c r="A21" t="inlineStr">
        <is>
          <t>Payback</t>
        </is>
      </c>
      <c r="B21">
        <f>IF(C19&gt;=0,"Build",IF(D19&gt;=0,"Year 1",IF(E19&gt;=0,"Year 2",IF(F19&gt;=0,"Year 3",IF(G19&gt;=0,"Year 4",IF(H19&gt;=0,"Year 5","beyond the horizon"))))))</f>
        <v/>
      </c>
    </row>
    <row r="22">
      <c r="A22" t="inlineStr">
        <is>
          <t>Return on cost (net / costs)</t>
        </is>
      </c>
      <c r="B22" s="24">
        <f>IF(I17=0,"",I18/I17)</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40" customWidth="1" min="3" max="3"/>
    <col width="9" customWidth="1" min="4" max="4"/>
    <col width="9" customWidth="1" min="5" max="5"/>
    <col width="12" customWidth="1" min="6" max="6"/>
    <col width="12" customWidth="1" min="7" max="7"/>
    <col width="9" customWidth="1" min="8" max="8"/>
    <col width="11" customWidth="1" min="9" max="9"/>
    <col width="14" customWidth="1" min="10" max="10"/>
    <col width="13" customWidth="1" min="11" max="11"/>
    <col width="13" customWidth="1" min="12" max="12"/>
    <col width="13" customWidth="1" min="13" max="13"/>
    <col width="15" customWidth="1" min="14" max="14"/>
    <col width="12" customWidth="1" min="15" max="15"/>
    <col width="12" customWidth="1" min="16" max="16"/>
    <col width="9" customWidth="1" min="17" max="17"/>
    <col width="9" customWidth="1" min="18" max="18"/>
    <col width="9" customWidth="1" min="19" max="19"/>
    <col width="13" customWidth="1" min="20" max="20"/>
    <col width="15" customWidth="1" min="21" max="21"/>
    <col width="15" customWidth="1" min="22" max="22"/>
    <col width="14" customWidth="1" min="23" max="23"/>
    <col width="40" customWidth="1" min="24" max="24"/>
  </cols>
  <sheetData>
    <row r="1">
      <c r="A1" s="1" t="inlineStr">
        <is>
          <t>Epics: deliverables, forecast and actual</t>
        </is>
      </c>
    </row>
    <row r="2">
      <c r="A2" t="inlineStr">
        <is>
          <t>In USD. Forecast: each epic takes a share of the build in proportion to its planned working days (that share of the delivery team and of the environments during delivery), plus the one-off costs tagged to it and its Claude API budget; dates run the epics one after another from the delivery start date. Actual: enter or keep the actual start and end dates; actual working days, the Claude API actual from the ledger, and team and infra scaled by actual / planned days (same team and rates) unless you enter the timesheet team cost. Blue cells are inputs; add an epic in a spare row.</t>
        </is>
      </c>
    </row>
    <row r="4">
      <c r="A4" s="3" t="inlineStr">
        <is>
          <t>Epic</t>
        </is>
      </c>
      <c r="B4" s="3" t="inlineStr">
        <is>
          <t>Name</t>
        </is>
      </c>
      <c r="C4" s="3" t="inlineStr">
        <is>
          <t>Deliverables</t>
        </is>
      </c>
      <c r="D4" s="3" t="inlineStr">
        <is>
          <t>Planned days</t>
        </is>
      </c>
      <c r="E4" s="3" t="inlineStr">
        <is>
          <t>Planned weeks</t>
        </is>
      </c>
      <c r="F4" s="3" t="inlineStr">
        <is>
          <t>Planned start</t>
        </is>
      </c>
      <c r="G4" s="3" t="inlineStr">
        <is>
          <t>Planned end</t>
        </is>
      </c>
      <c r="H4" s="3" t="inlineStr">
        <is>
          <t>Share of build</t>
        </is>
      </c>
      <c r="I4" s="3" t="inlineStr">
        <is>
          <t>Team mandays</t>
        </is>
      </c>
      <c r="J4" s="3" t="inlineStr">
        <is>
          <t>Team cost (USD)</t>
        </is>
      </c>
      <c r="K4" s="3" t="inlineStr">
        <is>
          <t>Infra cost (USD)</t>
        </is>
      </c>
      <c r="L4" s="3" t="inlineStr">
        <is>
          <t>Other costs (USD)</t>
        </is>
      </c>
      <c r="M4" s="3" t="inlineStr">
        <is>
          <t>Claude API budget (USD)</t>
        </is>
      </c>
      <c r="N4" s="3" t="inlineStr">
        <is>
          <t>Forecast total (USD)</t>
        </is>
      </c>
      <c r="O4" s="3" t="inlineStr">
        <is>
          <t>Actual start</t>
        </is>
      </c>
      <c r="P4" s="3" t="inlineStr">
        <is>
          <t>Actual end</t>
        </is>
      </c>
      <c r="Q4" s="3" t="inlineStr">
        <is>
          <t>Actual days</t>
        </is>
      </c>
      <c r="R4" s="3" t="inlineStr">
        <is>
          <t>Days variance</t>
        </is>
      </c>
      <c r="S4" s="3" t="inlineStr">
        <is>
          <t>Days variance %</t>
        </is>
      </c>
      <c r="T4" s="3" t="inlineStr">
        <is>
          <t>Claude API actual (USD)</t>
        </is>
      </c>
      <c r="U4" s="3" t="inlineStr">
        <is>
          <t>Actual team cost, timesheets (USD)</t>
        </is>
      </c>
      <c r="V4" s="3" t="inlineStr">
        <is>
          <t>Actual total (USD)</t>
        </is>
      </c>
      <c r="W4" s="3" t="inlineStr">
        <is>
          <t>Cost variance (USD)</t>
        </is>
      </c>
      <c r="X4" s="3" t="inlineStr">
        <is>
          <t>Cited from</t>
        </is>
      </c>
    </row>
    <row r="5">
      <c r="A5" s="7" t="n">
        <v>1</v>
      </c>
      <c r="B5" t="inlineStr">
        <is>
          <t>Secure platform foundation</t>
        </is>
      </c>
      <c r="C5" s="25" t="inlineStr">
        <is>
          <t>1.1 Terraform resource groups and least-privilege Jenkins identity
1.2 AKS with Node Auto Provisioning, Istio mTLS STRICT and Kong ingress
1.3 Vault with Key Vault auto-unseal and secret-free services
1.4 Parallel microservice image builds with Kaniko on Jenkins agents
1.5 Private endpoints and private DNS for lake, SQL, Key Vault and Event Hubs
1.6 Cost guardrails: Databricks cluster policy and clean terraform destroy</t>
        </is>
      </c>
      <c r="D5" s="4" t="n">
        <v>12</v>
      </c>
      <c r="E5" s="5">
        <f>IF(D5="","",D5/5)</f>
        <v/>
      </c>
      <c r="F5" s="26">
        <f>IF(OR(D5="",ProjectStart=""),"",ProjectStart)</f>
        <v/>
      </c>
      <c r="G5" s="26">
        <f>IF(F5="","",WORKDAY(F5,D5-1))</f>
        <v/>
      </c>
      <c r="H5" s="24">
        <f>IF(D5="","",D5/SUM($D$5:$D$13))</f>
        <v/>
      </c>
      <c r="I5" s="13">
        <f>IF(D5="","",H5*'Overall'!$F$29)</f>
        <v/>
      </c>
      <c r="J5" s="14">
        <f>IF(D5="","",H5*'Overall'!$G$29)</f>
        <v/>
      </c>
      <c r="K5" s="14">
        <f>IF(D5="","",H5*('Overall'!$D$43+'Overall'!$D$44+'Overall'!$D$45+'Overall'!$D$46))</f>
        <v/>
      </c>
      <c r="L5" s="14">
        <f>IF(A5="","",SUMIFS('Other Costs'!$C$5:$C$9,'Other Costs'!$F$5:$F$9,A5))</f>
        <v/>
      </c>
      <c r="M5" s="27" t="n">
        <v>55</v>
      </c>
      <c r="N5" s="14">
        <f>IF(D5="","",J5+K5+L5+N(M5))</f>
        <v/>
      </c>
      <c r="O5" s="6" t="n">
        <v>46265</v>
      </c>
      <c r="P5" s="6" t="n">
        <v>46281</v>
      </c>
      <c r="Q5" s="13">
        <f>IF(OR(D5="",O5="",P5=""),"",NETWORKDAYS(O5,P5))</f>
        <v/>
      </c>
      <c r="R5" s="28">
        <f>IF(Q5="","",Q5-D5)</f>
        <v/>
      </c>
      <c r="S5" s="29">
        <f>IF(Q5="","",Q5/D5-1)</f>
        <v/>
      </c>
      <c r="T5" s="14">
        <f>IF(A5="","",SUMIFS('Claude Usage Detail'!$P$5:$P$43,'Claude Usage Detail'!$C$5:$C$43,A5&amp;".*"))</f>
        <v/>
      </c>
      <c r="U5" s="15" t="n"/>
      <c r="V5" s="14">
        <f>IF(Q5="","",IF(U5="",J5*Q5/D5,U5)+K5*Q5/D5+L5+N(T5))</f>
        <v/>
      </c>
      <c r="W5" s="30">
        <f>IF(V5="","",V5-N5)</f>
        <v/>
      </c>
      <c r="X5" s="25" t="inlineStr">
        <is>
          <t>_bmad-output/specs/spec-corporate-portal-poc/SPEC.md CAP-10</t>
        </is>
      </c>
    </row>
    <row r="6">
      <c r="A6" s="7" t="n">
        <v>2</v>
      </c>
      <c r="B6" t="inlineStr">
        <is>
          <t>Treasurer portal and maker-checker payments</t>
        </is>
      </c>
      <c r="C6" s="25" t="inlineStr">
        <is>
          <t>2.1 Entra External ID sign-in and company-scoped sessions
2.2 Row-level security for company isolation with blocked-access logging
2.3 Cash position and liquidity dashboard from the serving schema
2.4 Accounts, balances and transactions
2.5 Payment creation with maker-checker approval and execution
2.6 Portal chrome: region badge, synthetic-data banner and error states</t>
        </is>
      </c>
      <c r="D6" s="4" t="n">
        <v>14</v>
      </c>
      <c r="E6" s="5">
        <f>IF(D6="","",D6/5)</f>
        <v/>
      </c>
      <c r="F6" s="26">
        <f>IF(OR(D6="",ProjectStart=""),"",WORKDAY(G5,1))</f>
        <v/>
      </c>
      <c r="G6" s="26">
        <f>IF(F6="","",WORKDAY(F6,D6-1))</f>
        <v/>
      </c>
      <c r="H6" s="24">
        <f>IF(D6="","",D6/SUM($D$5:$D$13))</f>
        <v/>
      </c>
      <c r="I6" s="13">
        <f>IF(D6="","",H6*'Overall'!$F$29)</f>
        <v/>
      </c>
      <c r="J6" s="14">
        <f>IF(D6="","",H6*'Overall'!$G$29)</f>
        <v/>
      </c>
      <c r="K6" s="14">
        <f>IF(D6="","",H6*('Overall'!$D$43+'Overall'!$D$44+'Overall'!$D$45+'Overall'!$D$46))</f>
        <v/>
      </c>
      <c r="L6" s="14">
        <f>IF(A6="","",SUMIFS('Other Costs'!$C$5:$C$9,'Other Costs'!$F$5:$F$9,A6))</f>
        <v/>
      </c>
      <c r="M6" s="27" t="n">
        <v>65</v>
      </c>
      <c r="N6" s="14">
        <f>IF(D6="","",J6+K6+L6+N(M6))</f>
        <v/>
      </c>
      <c r="O6" s="6" t="n">
        <v>46282</v>
      </c>
      <c r="P6" s="6" t="n"/>
      <c r="Q6" s="13">
        <f>IF(OR(D6="",O6="",P6=""),"",NETWORKDAYS(O6,P6))</f>
        <v/>
      </c>
      <c r="R6" s="28">
        <f>IF(Q6="","",Q6-D6)</f>
        <v/>
      </c>
      <c r="S6" s="29">
        <f>IF(Q6="","",Q6/D6-1)</f>
        <v/>
      </c>
      <c r="T6" s="14">
        <f>IF(A6="","",SUMIFS('Claude Usage Detail'!$P$5:$P$43,'Claude Usage Detail'!$C$5:$C$43,A6&amp;".*"))</f>
        <v/>
      </c>
      <c r="U6" s="15" t="n"/>
      <c r="V6" s="14">
        <f>IF(Q6="","",IF(U6="",J6*Q6/D6,U6)+K6*Q6/D6+L6+N(T6))</f>
        <v/>
      </c>
      <c r="W6" s="30">
        <f>IF(V6="","",V6-N6)</f>
        <v/>
      </c>
      <c r="X6" s="25" t="inlineStr">
        <is>
          <t>_bmad-output/specs/spec-corporate-portal-poc/SPEC.md CAP-4</t>
        </is>
      </c>
    </row>
    <row r="7">
      <c r="A7" s="7" t="n">
        <v>3</v>
      </c>
      <c r="B7" t="inlineStr">
        <is>
          <t>Ledger events through the medallion lake</t>
        </is>
      </c>
      <c r="C7" s="25" t="inlineStr">
        <is>
          <t>3.1 Seeded synthetic world: companies, payroll cycles, suppliers and planted anomalies
3.2 Outbox relay from the SQL ledger to Event Hubs
3.3 Bronze ingestion from the Event Hubs Kafka endpoint
3.4 Silver and gold Delta transforms with serving-schema write-back
3.5 Behind-the-scenes stage panel</t>
        </is>
      </c>
      <c r="D7" s="4" t="n">
        <v>12</v>
      </c>
      <c r="E7" s="5">
        <f>IF(D7="","",D7/5)</f>
        <v/>
      </c>
      <c r="F7" s="26">
        <f>IF(OR(D7="",ProjectStart=""),"",WORKDAY(G6,1))</f>
        <v/>
      </c>
      <c r="G7" s="26">
        <f>IF(F7="","",WORKDAY(F7,D7-1))</f>
        <v/>
      </c>
      <c r="H7" s="24">
        <f>IF(D7="","",D7/SUM($D$5:$D$13))</f>
        <v/>
      </c>
      <c r="I7" s="13">
        <f>IF(D7="","",H7*'Overall'!$F$29)</f>
        <v/>
      </c>
      <c r="J7" s="14">
        <f>IF(D7="","",H7*'Overall'!$G$29)</f>
        <v/>
      </c>
      <c r="K7" s="14">
        <f>IF(D7="","",H7*('Overall'!$D$43+'Overall'!$D$44+'Overall'!$D$45+'Overall'!$D$46))</f>
        <v/>
      </c>
      <c r="L7" s="14">
        <f>IF(A7="","",SUMIFS('Other Costs'!$C$5:$C$9,'Other Costs'!$F$5:$F$9,A7))</f>
        <v/>
      </c>
      <c r="M7" s="27" t="n">
        <v>55</v>
      </c>
      <c r="N7" s="14">
        <f>IF(D7="","",J7+K7+L7+N(M7))</f>
        <v/>
      </c>
      <c r="O7" s="6" t="n"/>
      <c r="P7" s="6" t="n"/>
      <c r="Q7" s="13">
        <f>IF(OR(D7="",O7="",P7=""),"",NETWORKDAYS(O7,P7))</f>
        <v/>
      </c>
      <c r="R7" s="28">
        <f>IF(Q7="","",Q7-D7)</f>
        <v/>
      </c>
      <c r="S7" s="29">
        <f>IF(Q7="","",Q7/D7-1)</f>
        <v/>
      </c>
      <c r="T7" s="14">
        <f>IF(A7="","",SUMIFS('Claude Usage Detail'!$P$5:$P$43,'Claude Usage Detail'!$C$5:$C$43,A7&amp;".*"))</f>
        <v/>
      </c>
      <c r="U7" s="15" t="n"/>
      <c r="V7" s="14">
        <f>IF(Q7="","",IF(U7="",J7*Q7/D7,U7)+K7*Q7/D7+L7+N(T7))</f>
        <v/>
      </c>
      <c r="W7" s="30">
        <f>IF(V7="","",V7-N7)</f>
        <v/>
      </c>
      <c r="X7" s="25" t="inlineStr">
        <is>
          <t>_bmad-output/specs/spec-corporate-portal-poc/SPEC.md CAP-5</t>
        </is>
      </c>
    </row>
    <row r="8">
      <c r="A8" s="7" t="n">
        <v>4</v>
      </c>
      <c r="B8" t="inlineStr">
        <is>
          <t>Lineage and ML cash intelligence</t>
        </is>
      </c>
      <c r="C8" s="25" t="inlineStr">
        <is>
          <t>4.1 Unity Catalog lineage from gold back to the Event Hubs source
4.2 Cash forecast model tracked in MLflow and registered in Unity Catalog
4.3 Isolation Forest payment anomaly detection
4.4 Batch scoring into forecasts and anomalies tables
4.5 Forecast screen and anomaly flags in the portal</t>
        </is>
      </c>
      <c r="D8" s="4" t="n">
        <v>12</v>
      </c>
      <c r="E8" s="5">
        <f>IF(D8="","",D8/5)</f>
        <v/>
      </c>
      <c r="F8" s="26">
        <f>IF(OR(D8="",ProjectStart=""),"",WORKDAY(G7,1))</f>
        <v/>
      </c>
      <c r="G8" s="26">
        <f>IF(F8="","",WORKDAY(F8,D8-1))</f>
        <v/>
      </c>
      <c r="H8" s="24">
        <f>IF(D8="","",D8/SUM($D$5:$D$13))</f>
        <v/>
      </c>
      <c r="I8" s="13">
        <f>IF(D8="","",H8*'Overall'!$F$29)</f>
        <v/>
      </c>
      <c r="J8" s="14">
        <f>IF(D8="","",H8*'Overall'!$G$29)</f>
        <v/>
      </c>
      <c r="K8" s="14">
        <f>IF(D8="","",H8*('Overall'!$D$43+'Overall'!$D$44+'Overall'!$D$45+'Overall'!$D$46))</f>
        <v/>
      </c>
      <c r="L8" s="14">
        <f>IF(A8="","",SUMIFS('Other Costs'!$C$5:$C$9,'Other Costs'!$F$5:$F$9,A8))</f>
        <v/>
      </c>
      <c r="M8" s="27" t="n">
        <v>60</v>
      </c>
      <c r="N8" s="14">
        <f>IF(D8="","",J8+K8+L8+N(M8))</f>
        <v/>
      </c>
      <c r="O8" s="6" t="n"/>
      <c r="P8" s="6" t="n"/>
      <c r="Q8" s="13">
        <f>IF(OR(D8="",O8="",P8=""),"",NETWORKDAYS(O8,P8))</f>
        <v/>
      </c>
      <c r="R8" s="28">
        <f>IF(Q8="","",Q8-D8)</f>
        <v/>
      </c>
      <c r="S8" s="29">
        <f>IF(Q8="","",Q8/D8-1)</f>
        <v/>
      </c>
      <c r="T8" s="14">
        <f>IF(A8="","",SUMIFS('Claude Usage Detail'!$P$5:$P$43,'Claude Usage Detail'!$C$5:$C$43,A8&amp;".*"))</f>
        <v/>
      </c>
      <c r="U8" s="15" t="n"/>
      <c r="V8" s="14">
        <f>IF(Q8="","",IF(U8="",J8*Q8/D8,U8)+K8*Q8/D8+L8+N(T8))</f>
        <v/>
      </c>
      <c r="W8" s="30">
        <f>IF(V8="","",V8-N8)</f>
        <v/>
      </c>
      <c r="X8" s="25" t="inlineStr">
        <is>
          <t>_bmad-output/specs/spec-corporate-portal-poc/SPEC.md CAP-7</t>
        </is>
      </c>
    </row>
    <row r="9">
      <c r="A9" s="7" t="n">
        <v>5</v>
      </c>
      <c r="B9" t="inlineStr">
        <is>
          <t>Multi-region resilience</t>
        </is>
      </c>
      <c r="C9" s="25" t="inlineStr">
        <is>
          <t>5.1 Region-2 AKS from the same Terraform module
5.2 Front Door origins, health probes and Front Door-only ingress
5.3 SQL failover group behind a Terraform flag
5.4 Grafana requests-per-second by region
5.5 Regional failover drill and runbook</t>
        </is>
      </c>
      <c r="D9" s="4" t="n">
        <v>10</v>
      </c>
      <c r="E9" s="5">
        <f>IF(D9="","",D9/5)</f>
        <v/>
      </c>
      <c r="F9" s="26">
        <f>IF(OR(D9="",ProjectStart=""),"",WORKDAY(G8,1))</f>
        <v/>
      </c>
      <c r="G9" s="26">
        <f>IF(F9="","",WORKDAY(F9,D9-1))</f>
        <v/>
      </c>
      <c r="H9" s="24">
        <f>IF(D9="","",D9/SUM($D$5:$D$13))</f>
        <v/>
      </c>
      <c r="I9" s="13">
        <f>IF(D9="","",H9*'Overall'!$F$29)</f>
        <v/>
      </c>
      <c r="J9" s="14">
        <f>IF(D9="","",H9*'Overall'!$G$29)</f>
        <v/>
      </c>
      <c r="K9" s="14">
        <f>IF(D9="","",H9*('Overall'!$D$43+'Overall'!$D$44+'Overall'!$D$45+'Overall'!$D$46))</f>
        <v/>
      </c>
      <c r="L9" s="14">
        <f>IF(A9="","",SUMIFS('Other Costs'!$C$5:$C$9,'Other Costs'!$F$5:$F$9,A9))</f>
        <v/>
      </c>
      <c r="M9" s="27" t="n">
        <v>45</v>
      </c>
      <c r="N9" s="14">
        <f>IF(D9="","",J9+K9+L9+N(M9))</f>
        <v/>
      </c>
      <c r="O9" s="6" t="n"/>
      <c r="P9" s="6" t="n"/>
      <c r="Q9" s="13">
        <f>IF(OR(D9="",O9="",P9=""),"",NETWORKDAYS(O9,P9))</f>
        <v/>
      </c>
      <c r="R9" s="28">
        <f>IF(Q9="","",Q9-D9)</f>
        <v/>
      </c>
      <c r="S9" s="29">
        <f>IF(Q9="","",Q9/D9-1)</f>
        <v/>
      </c>
      <c r="T9" s="14">
        <f>IF(A9="","",SUMIFS('Claude Usage Detail'!$P$5:$P$43,'Claude Usage Detail'!$C$5:$C$43,A9&amp;".*"))</f>
        <v/>
      </c>
      <c r="U9" s="15" t="n"/>
      <c r="V9" s="14">
        <f>IF(Q9="","",IF(U9="",J9*Q9/D9,U9)+K9*Q9/D9+L9+N(T9))</f>
        <v/>
      </c>
      <c r="W9" s="30">
        <f>IF(V9="","",V9-N9)</f>
        <v/>
      </c>
      <c r="X9" s="25" t="inlineStr">
        <is>
          <t>_bmad-output/specs/spec-corporate-portal-poc/SPEC.md CAP-12</t>
        </is>
      </c>
    </row>
    <row r="10">
      <c r="A10" s="7" t="n">
        <v>6</v>
      </c>
      <c r="B10" t="inlineStr">
        <is>
          <t>Security assurance, UAT and go-live</t>
        </is>
      </c>
      <c r="C10" s="25" t="inlineStr">
        <is>
          <t>6.1 Security controls evidence pack for the CISO review
6.2 PDPA data-protection assessment and penetration test remediation
6.3 UAT with Group Treasury and business sign-off
6.4 CAB approval, production cut-over and hypercare</t>
        </is>
      </c>
      <c r="D10" s="4" t="n">
        <v>15</v>
      </c>
      <c r="E10" s="5">
        <f>IF(D10="","",D10/5)</f>
        <v/>
      </c>
      <c r="F10" s="26">
        <f>IF(OR(D10="",ProjectStart=""),"",WORKDAY(G9,1))</f>
        <v/>
      </c>
      <c r="G10" s="26">
        <f>IF(F10="","",WORKDAY(F10,D10-1))</f>
        <v/>
      </c>
      <c r="H10" s="24">
        <f>IF(D10="","",D10/SUM($D$5:$D$13))</f>
        <v/>
      </c>
      <c r="I10" s="13">
        <f>IF(D10="","",H10*'Overall'!$F$29)</f>
        <v/>
      </c>
      <c r="J10" s="14">
        <f>IF(D10="","",H10*'Overall'!$G$29)</f>
        <v/>
      </c>
      <c r="K10" s="14">
        <f>IF(D10="","",H10*('Overall'!$D$43+'Overall'!$D$44+'Overall'!$D$45+'Overall'!$D$46))</f>
        <v/>
      </c>
      <c r="L10" s="14">
        <f>IF(A10="","",SUMIFS('Other Costs'!$C$5:$C$9,'Other Costs'!$F$5:$F$9,A10))</f>
        <v/>
      </c>
      <c r="M10" s="27" t="n">
        <v>35</v>
      </c>
      <c r="N10" s="14">
        <f>IF(D10="","",J10+K10+L10+N(M10))</f>
        <v/>
      </c>
      <c r="O10" s="6" t="n"/>
      <c r="P10" s="6" t="n"/>
      <c r="Q10" s="13">
        <f>IF(OR(D10="",O10="",P10=""),"",NETWORKDAYS(O10,P10))</f>
        <v/>
      </c>
      <c r="R10" s="28">
        <f>IF(Q10="","",Q10-D10)</f>
        <v/>
      </c>
      <c r="S10" s="29">
        <f>IF(Q10="","",Q10/D10-1)</f>
        <v/>
      </c>
      <c r="T10" s="14">
        <f>IF(A10="","",SUMIFS('Claude Usage Detail'!$P$5:$P$43,'Claude Usage Detail'!$C$5:$C$43,A10&amp;".*"))</f>
        <v/>
      </c>
      <c r="U10" s="15" t="n"/>
      <c r="V10" s="14">
        <f>IF(Q10="","",IF(U10="",J10*Q10/D10,U10)+K10*Q10/D10+L10+N(T10))</f>
        <v/>
      </c>
      <c r="W10" s="30">
        <f>IF(V10="","",V10-N10)</f>
        <v/>
      </c>
      <c r="X10" s="25" t="inlineStr">
        <is>
          <t>_bmad-output/specs/spec-corporate-portal-poc/SPEC.md CAP-14</t>
        </is>
      </c>
    </row>
    <row r="11">
      <c r="A11" s="15" t="n"/>
      <c r="B11" s="15" t="n"/>
      <c r="C11" s="15" t="n"/>
      <c r="D11" s="15" t="n"/>
      <c r="E11" s="5">
        <f>IF(D11="","",D11/5)</f>
        <v/>
      </c>
      <c r="F11" s="26">
        <f>IF(OR(D11="",ProjectStart=""),"",WORKDAY(G10,1))</f>
        <v/>
      </c>
      <c r="G11" s="26">
        <f>IF(F11="","",WORKDAY(F11,D11-1))</f>
        <v/>
      </c>
      <c r="H11" s="24">
        <f>IF(D11="","",D11/SUM($D$5:$D$13))</f>
        <v/>
      </c>
      <c r="I11" s="13">
        <f>IF(D11="","",H11*'Overall'!$F$29)</f>
        <v/>
      </c>
      <c r="J11" s="14">
        <f>IF(D11="","",H11*'Overall'!$G$29)</f>
        <v/>
      </c>
      <c r="K11" s="14">
        <f>IF(D11="","",H11*('Overall'!$D$43+'Overall'!$D$44+'Overall'!$D$45+'Overall'!$D$46))</f>
        <v/>
      </c>
      <c r="L11" s="14">
        <f>IF(A11="","",SUMIFS('Other Costs'!$C$5:$C$9,'Other Costs'!$F$5:$F$9,A11))</f>
        <v/>
      </c>
      <c r="M11" s="15" t="n"/>
      <c r="N11" s="14">
        <f>IF(D11="","",J11+K11+L11+N(M11))</f>
        <v/>
      </c>
      <c r="O11" s="6" t="n"/>
      <c r="P11" s="6" t="n"/>
      <c r="Q11" s="13">
        <f>IF(OR(D11="",O11="",P11=""),"",NETWORKDAYS(O11,P11))</f>
        <v/>
      </c>
      <c r="R11" s="28">
        <f>IF(Q11="","",Q11-D11)</f>
        <v/>
      </c>
      <c r="S11" s="29">
        <f>IF(Q11="","",Q11/D11-1)</f>
        <v/>
      </c>
      <c r="T11" s="14">
        <f>IF(A11="","",SUMIFS('Claude Usage Detail'!$P$5:$P$43,'Claude Usage Detail'!$C$5:$C$43,A11&amp;".*"))</f>
        <v/>
      </c>
      <c r="U11" s="15" t="n"/>
      <c r="V11" s="14">
        <f>IF(Q11="","",IF(U11="",J11*Q11/D11,U11)+K11*Q11/D11+L11+N(T11))</f>
        <v/>
      </c>
      <c r="W11" s="30">
        <f>IF(V11="","",V11-N11)</f>
        <v/>
      </c>
    </row>
    <row r="12">
      <c r="A12" s="15" t="n"/>
      <c r="B12" s="15" t="n"/>
      <c r="C12" s="15" t="n"/>
      <c r="D12" s="15" t="n"/>
      <c r="E12" s="5">
        <f>IF(D12="","",D12/5)</f>
        <v/>
      </c>
      <c r="F12" s="26">
        <f>IF(OR(D12="",ProjectStart=""),"",WORKDAY(G11,1))</f>
        <v/>
      </c>
      <c r="G12" s="26">
        <f>IF(F12="","",WORKDAY(F12,D12-1))</f>
        <v/>
      </c>
      <c r="H12" s="24">
        <f>IF(D12="","",D12/SUM($D$5:$D$13))</f>
        <v/>
      </c>
      <c r="I12" s="13">
        <f>IF(D12="","",H12*'Overall'!$F$29)</f>
        <v/>
      </c>
      <c r="J12" s="14">
        <f>IF(D12="","",H12*'Overall'!$G$29)</f>
        <v/>
      </c>
      <c r="K12" s="14">
        <f>IF(D12="","",H12*('Overall'!$D$43+'Overall'!$D$44+'Overall'!$D$45+'Overall'!$D$46))</f>
        <v/>
      </c>
      <c r="L12" s="14">
        <f>IF(A12="","",SUMIFS('Other Costs'!$C$5:$C$9,'Other Costs'!$F$5:$F$9,A12))</f>
        <v/>
      </c>
      <c r="M12" s="15" t="n"/>
      <c r="N12" s="14">
        <f>IF(D12="","",J12+K12+L12+N(M12))</f>
        <v/>
      </c>
      <c r="O12" s="6" t="n"/>
      <c r="P12" s="6" t="n"/>
      <c r="Q12" s="13">
        <f>IF(OR(D12="",O12="",P12=""),"",NETWORKDAYS(O12,P12))</f>
        <v/>
      </c>
      <c r="R12" s="28">
        <f>IF(Q12="","",Q12-D12)</f>
        <v/>
      </c>
      <c r="S12" s="29">
        <f>IF(Q12="","",Q12/D12-1)</f>
        <v/>
      </c>
      <c r="T12" s="14">
        <f>IF(A12="","",SUMIFS('Claude Usage Detail'!$P$5:$P$43,'Claude Usage Detail'!$C$5:$C$43,A12&amp;".*"))</f>
        <v/>
      </c>
      <c r="U12" s="15" t="n"/>
      <c r="V12" s="14">
        <f>IF(Q12="","",IF(U12="",J12*Q12/D12,U12)+K12*Q12/D12+L12+N(T12))</f>
        <v/>
      </c>
      <c r="W12" s="30">
        <f>IF(V12="","",V12-N12)</f>
        <v/>
      </c>
    </row>
    <row r="13">
      <c r="A13" s="15" t="n"/>
      <c r="B13" s="15" t="n"/>
      <c r="C13" s="15" t="n"/>
      <c r="D13" s="15" t="n"/>
      <c r="E13" s="5">
        <f>IF(D13="","",D13/5)</f>
        <v/>
      </c>
      <c r="F13" s="26">
        <f>IF(OR(D13="",ProjectStart=""),"",WORKDAY(G12,1))</f>
        <v/>
      </c>
      <c r="G13" s="26">
        <f>IF(F13="","",WORKDAY(F13,D13-1))</f>
        <v/>
      </c>
      <c r="H13" s="24">
        <f>IF(D13="","",D13/SUM($D$5:$D$13))</f>
        <v/>
      </c>
      <c r="I13" s="13">
        <f>IF(D13="","",H13*'Overall'!$F$29)</f>
        <v/>
      </c>
      <c r="J13" s="14">
        <f>IF(D13="","",H13*'Overall'!$G$29)</f>
        <v/>
      </c>
      <c r="K13" s="14">
        <f>IF(D13="","",H13*('Overall'!$D$43+'Overall'!$D$44+'Overall'!$D$45+'Overall'!$D$46))</f>
        <v/>
      </c>
      <c r="L13" s="14">
        <f>IF(A13="","",SUMIFS('Other Costs'!$C$5:$C$9,'Other Costs'!$F$5:$F$9,A13))</f>
        <v/>
      </c>
      <c r="M13" s="15" t="n"/>
      <c r="N13" s="14">
        <f>IF(D13="","",J13+K13+L13+N(M13))</f>
        <v/>
      </c>
      <c r="O13" s="6" t="n"/>
      <c r="P13" s="6" t="n"/>
      <c r="Q13" s="13">
        <f>IF(OR(D13="",O13="",P13=""),"",NETWORKDAYS(O13,P13))</f>
        <v/>
      </c>
      <c r="R13" s="28">
        <f>IF(Q13="","",Q13-D13)</f>
        <v/>
      </c>
      <c r="S13" s="29">
        <f>IF(Q13="","",Q13/D13-1)</f>
        <v/>
      </c>
      <c r="T13" s="14">
        <f>IF(A13="","",SUMIFS('Claude Usage Detail'!$P$5:$P$43,'Claude Usage Detail'!$C$5:$C$43,A13&amp;".*"))</f>
        <v/>
      </c>
      <c r="U13" s="15" t="n"/>
      <c r="V13" s="14">
        <f>IF(Q13="","",IF(U13="",J13*Q13/D13,U13)+K13*Q13/D13+L13+N(T13))</f>
        <v/>
      </c>
      <c r="W13" s="30">
        <f>IF(V13="","",V13-N13)</f>
        <v/>
      </c>
    </row>
    <row r="14">
      <c r="A14" s="16" t="inlineStr">
        <is>
          <t>Total</t>
        </is>
      </c>
      <c r="B14" s="16" t="n"/>
      <c r="C14" s="16" t="n"/>
      <c r="D14" s="17">
        <f>SUM(D5:D13)</f>
        <v/>
      </c>
      <c r="E14" s="16" t="n"/>
      <c r="F14" s="16" t="n"/>
      <c r="G14" s="16" t="n"/>
      <c r="H14" s="16" t="n"/>
      <c r="I14" s="17">
        <f>SUM(I5:I13)</f>
        <v/>
      </c>
      <c r="J14" s="18">
        <f>SUM(J5:J13)</f>
        <v/>
      </c>
      <c r="K14" s="18">
        <f>SUM(K5:K13)</f>
        <v/>
      </c>
      <c r="L14" s="18">
        <f>SUM(L5:L13)</f>
        <v/>
      </c>
      <c r="M14" s="18">
        <f>SUM(M5:M13)</f>
        <v/>
      </c>
      <c r="N14" s="18">
        <f>SUM(N5:N13)</f>
        <v/>
      </c>
      <c r="O14" s="16" t="n"/>
      <c r="P14" s="16" t="n"/>
      <c r="Q14" s="17">
        <f>SUM(Q5:Q13)</f>
        <v/>
      </c>
      <c r="R14" s="17">
        <f>SUM(R5:R13)</f>
        <v/>
      </c>
      <c r="S14" s="31">
        <f>IF(Q14=0,"",Q14/SUMIFS(D5:D13,Q5:Q13,"&gt;0")-1)</f>
        <v/>
      </c>
      <c r="T14" s="18">
        <f>SUM(T5:T13)</f>
        <v/>
      </c>
      <c r="U14" s="18">
        <f>SUM(U5:U13)</f>
        <v/>
      </c>
      <c r="V14" s="18">
        <f>SUM(V5:V13)</f>
        <v/>
      </c>
      <c r="W14" s="18">
        <f>SUM(W5:W13)</f>
        <v/>
      </c>
      <c r="X14" s="16" t="n"/>
    </row>
    <row r="16">
      <c r="A16">
        <f>IF(D14=DeliveryDays,"The planned epics add up to the days of delivery.","The planned epics add up to "&amp;D14&amp;" working days; the days of delivery input is "&amp;DeliveryDays&amp;". Costs are shared by planned epic days either way.")</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0" customWidth="1" min="4" max="4"/>
    <col width="34" customWidth="1" min="5" max="5"/>
    <col width="14" customWidth="1" min="6" max="6"/>
    <col width="13" customWidth="1" min="7" max="7"/>
    <col width="13" customWidth="1" min="8" max="8"/>
    <col width="15" customWidth="1" min="9" max="9"/>
    <col width="10" customWidth="1" min="10" max="10"/>
    <col width="10" customWidth="1" min="11" max="11"/>
    <col width="34" customWidth="1" min="12" max="12"/>
    <col width="14" customWidth="1" min="13" max="13"/>
    <col width="15" customWidth="1" min="14" max="14"/>
    <col width="15" customWidth="1" min="15" max="15"/>
    <col width="14" customWidth="1" min="16" max="16"/>
  </cols>
  <sheetData>
    <row r="1">
      <c r="A1" s="1" t="inlineStr">
        <is>
          <t>Sprints: forecast and actual</t>
        </is>
      </c>
    </row>
    <row r="2">
      <c r="A2" t="inlineStr">
        <is>
          <t>In USD. Every sprint is a timebox of the Overall input 'Working days per sprint' from the delivery start date. Forecast: the sprint's planned working days (the days of delivery, sprint by sprint) at the delivery team's and the environments' daily cost, plus any Claude API budget. Actual, up to the last actual activity (the latest completed story or day of Claude usage): the days worked in the sprint, the stories completed, the Claude API cost on its days, and the team at the days worked unless timesheets are entered. Sprints past the plan appear when work ran over. Blue cells are inputs.</t>
        </is>
      </c>
    </row>
    <row r="3">
      <c r="A3" t="inlineStr">
        <is>
          <t>Last actual activity</t>
        </is>
      </c>
      <c r="C3" s="26">
        <f>IF(MAX(MAXIFS('Project Timeline'!$F$5:$F$89,'Project Timeline'!$A$5:$A$89,"story"),MAX('Claude Usage Daily'!$A$5:$A$115))=0,"",MAX(MAXIFS('Project Timeline'!$F$5:$F$89,'Project Timeline'!$A$5:$A$89,"story"),MAX('Claude Usage Daily'!$A$5:$A$115)))</f>
        <v/>
      </c>
    </row>
    <row r="4">
      <c r="A4" s="3" t="inlineStr">
        <is>
          <t>Sprint</t>
        </is>
      </c>
      <c r="B4" s="3" t="inlineStr">
        <is>
          <t>Start</t>
        </is>
      </c>
      <c r="C4" s="3" t="inlineStr">
        <is>
          <t>End</t>
        </is>
      </c>
      <c r="D4" s="3" t="inlineStr">
        <is>
          <t>Planned days</t>
        </is>
      </c>
      <c r="E4" s="3" t="inlineStr">
        <is>
          <t>Planned stories</t>
        </is>
      </c>
      <c r="F4" s="3" t="inlineStr">
        <is>
          <t>Team cost (USD)</t>
        </is>
      </c>
      <c r="G4" s="3" t="inlineStr">
        <is>
          <t>Infra cost (USD)</t>
        </is>
      </c>
      <c r="H4" s="3" t="inlineStr">
        <is>
          <t>Claude API budget (USD)</t>
        </is>
      </c>
      <c r="I4" s="3" t="inlineStr">
        <is>
          <t>Forecast total (USD)</t>
        </is>
      </c>
      <c r="J4" s="3" t="inlineStr">
        <is>
          <t>Days worked</t>
        </is>
      </c>
      <c r="K4" s="3" t="inlineStr">
        <is>
          <t>Stories done</t>
        </is>
      </c>
      <c r="L4" s="3" t="inlineStr">
        <is>
          <t>Stories done (list)</t>
        </is>
      </c>
      <c r="M4" s="3" t="inlineStr">
        <is>
          <t>Claude API actual (USD)</t>
        </is>
      </c>
      <c r="N4" s="3" t="inlineStr">
        <is>
          <t>Actual team cost, timesheets (USD)</t>
        </is>
      </c>
      <c r="O4" s="3" t="inlineStr">
        <is>
          <t>Actual total (USD)</t>
        </is>
      </c>
      <c r="P4" s="3" t="inlineStr">
        <is>
          <t>Cost variance (USD)</t>
        </is>
      </c>
    </row>
    <row r="5">
      <c r="A5" s="32" t="n">
        <v>1</v>
      </c>
      <c r="B5" s="26">
        <f>IF(OR(D5="",ProjectStart=""),"",WORKDAY(ProjectStart,(1-1)*SprintDays))</f>
        <v/>
      </c>
      <c r="C5" s="26">
        <f>IF(B5="","",WORKDAY(B5,SprintDays-1))</f>
        <v/>
      </c>
      <c r="D5" s="32">
        <f>IF(OR(MIN(SprintDays,MAX(0,DeliveryDays-(1-1)*SprintDays))&gt;0,AND(ProjectStart&lt;&gt;"",LastActual&lt;&gt;"",WORKDAY(ProjectStart,(1-1)*SprintDays)&lt;=N(LastActual))),MIN(SprintDays,MAX(0,DeliveryDays-(1-1)*SprintDays)),"")</f>
        <v/>
      </c>
      <c r="E5" s="33" t="inlineStr">
        <is>
          <t>1.1 Terraform resource groups and least-privilege Jenkins identity
1.2 AKS with Node Auto Provisioning, Istio mTLS STRICT and Kong ingress
1.3 Vault with Key Vault auto-unseal and secret-free services
1.4 Parallel microservice image builds with Kaniko on Jenkins agents
1.5 Private endpoints and private DNS for lake, SQL, Key Vault and Event Hubs</t>
        </is>
      </c>
      <c r="F5" s="14">
        <f>IF(D5="","",D5*'Overall'!$G$29/DeliveryDays)</f>
        <v/>
      </c>
      <c r="G5" s="14">
        <f>IF(D5="","",D5*('Overall'!$D$43+'Overall'!$D$44+'Overall'!$D$45+'Overall'!$D$46)/DeliveryDays)</f>
        <v/>
      </c>
      <c r="H5" s="15" t="n"/>
      <c r="I5" s="14">
        <f>IF(D5="","",F5+G5+N(H5))</f>
        <v/>
      </c>
      <c r="J5" s="32">
        <f>IF(OR(B5="",LastActual="",B5&gt;N(LastActual)),"",NETWORKDAYS(B5,MIN(C5,LastActual)))</f>
        <v/>
      </c>
      <c r="K5" s="32">
        <f>IF(J5="","",COUNTIFS('Project Timeline'!$A$5:$A$89,"story",'Project Timeline'!$F$5:$F$89,"&gt;="&amp;B5,'Project Timeline'!$F$5:$F$89,"&lt;="&amp;C5))</f>
        <v/>
      </c>
      <c r="L5" s="25" t="inlineStr">
        <is>
          <t>1-1-terraform-resource-groups-and
1-2-aks-with-node-auto
1-3-vault-with-key-vault
1-4-parallel-microservice-image-builds</t>
        </is>
      </c>
      <c r="M5" s="14">
        <f>IF(J5="","",SUMIFS('Claude Usage Daily'!$O$5:$O$115,'Claude Usage Daily'!$A$5:$A$115,"&gt;="&amp;B5,'Claude Usage Daily'!$A$5:$A$115,"&lt;="&amp;C5))</f>
        <v/>
      </c>
      <c r="N5" s="15" t="n"/>
      <c r="O5" s="14">
        <f>IF(J5="","",IF(N5="",J5*'Overall'!$G$29/DeliveryDays,N5)+J5*('Overall'!$D$43+'Overall'!$D$44+'Overall'!$D$45+'Overall'!$D$46)/DeliveryDays+N(M5))</f>
        <v/>
      </c>
      <c r="P5" s="30">
        <f>IF(O5="","",O5-N(I5))</f>
        <v/>
      </c>
    </row>
    <row r="6">
      <c r="A6" s="32" t="n">
        <v>2</v>
      </c>
      <c r="B6" s="26">
        <f>IF(OR(D6="",ProjectStart=""),"",WORKDAY(ProjectStart,(2-1)*SprintDays))</f>
        <v/>
      </c>
      <c r="C6" s="26">
        <f>IF(B6="","",WORKDAY(B6,SprintDays-1))</f>
        <v/>
      </c>
      <c r="D6" s="32">
        <f>IF(OR(MIN(SprintDays,MAX(0,DeliveryDays-(2-1)*SprintDays))&gt;0,AND(ProjectStart&lt;&gt;"",LastActual&lt;&gt;"",WORKDAY(ProjectStart,(2-1)*SprintDays)&lt;=N(LastActual))),MIN(SprintDays,MAX(0,DeliveryDays-(2-1)*SprintDays)),"")</f>
        <v/>
      </c>
      <c r="E6" s="33" t="inlineStr">
        <is>
          <t>1.6 Cost guardrails: Databricks cluster policy and clean terraform destroy
2.1 Entra External ID sign-in and company-scoped sessions
2.2 Row-level security for company isolation with blocked-access logging
2.3 Cash position and liquidity dashboard from the serving schema
2.4 Accounts, balances and transactions</t>
        </is>
      </c>
      <c r="F6" s="14">
        <f>IF(D6="","",D6*'Overall'!$G$29/DeliveryDays)</f>
        <v/>
      </c>
      <c r="G6" s="14">
        <f>IF(D6="","",D6*('Overall'!$D$43+'Overall'!$D$44+'Overall'!$D$45+'Overall'!$D$46)/DeliveryDays)</f>
        <v/>
      </c>
      <c r="H6" s="15" t="n"/>
      <c r="I6" s="14">
        <f>IF(D6="","",F6+G6+N(H6))</f>
        <v/>
      </c>
      <c r="J6" s="32">
        <f>IF(OR(B6="",LastActual="",B6&gt;N(LastActual)),"",NETWORKDAYS(B6,MIN(C6,LastActual)))</f>
        <v/>
      </c>
      <c r="K6" s="32">
        <f>IF(J6="","",COUNTIFS('Project Timeline'!$A$5:$A$89,"story",'Project Timeline'!$F$5:$F$89,"&gt;="&amp;B6,'Project Timeline'!$F$5:$F$89,"&lt;="&amp;C6))</f>
        <v/>
      </c>
      <c r="L6" s="25" t="inlineStr">
        <is>
          <t>1-5-private-endpoints-and-private
1-6-cost-guardrails-databricks-cluster
2-1-entra-external-id-sign-in
2-2-row-level-security-for-company</t>
        </is>
      </c>
      <c r="M6" s="14">
        <f>IF(J6="","",SUMIFS('Claude Usage Daily'!$O$5:$O$115,'Claude Usage Daily'!$A$5:$A$115,"&gt;="&amp;B6,'Claude Usage Daily'!$A$5:$A$115,"&lt;="&amp;C6))</f>
        <v/>
      </c>
      <c r="N6" s="15" t="n"/>
      <c r="O6" s="14">
        <f>IF(J6="","",IF(N6="",J6*'Overall'!$G$29/DeliveryDays,N6)+J6*('Overall'!$D$43+'Overall'!$D$44+'Overall'!$D$45+'Overall'!$D$46)/DeliveryDays+N(M6))</f>
        <v/>
      </c>
      <c r="P6" s="30">
        <f>IF(O6="","",O6-N(I6))</f>
        <v/>
      </c>
    </row>
    <row r="7">
      <c r="A7" s="32" t="n">
        <v>3</v>
      </c>
      <c r="B7" s="26">
        <f>IF(OR(D7="",ProjectStart=""),"",WORKDAY(ProjectStart,(3-1)*SprintDays))</f>
        <v/>
      </c>
      <c r="C7" s="26">
        <f>IF(B7="","",WORKDAY(B7,SprintDays-1))</f>
        <v/>
      </c>
      <c r="D7" s="32">
        <f>IF(OR(MIN(SprintDays,MAX(0,DeliveryDays-(3-1)*SprintDays))&gt;0,AND(ProjectStart&lt;&gt;"",LastActual&lt;&gt;"",WORKDAY(ProjectStart,(3-1)*SprintDays)&lt;=N(LastActual))),MIN(SprintDays,MAX(0,DeliveryDays-(3-1)*SprintDays)),"")</f>
        <v/>
      </c>
      <c r="E7" s="33" t="inlineStr">
        <is>
          <t>2.5 Payment creation with maker-checker approval and execution
2.6 Portal chrome: region badge, synthetic-data banner and error states
3.1 Seeded synthetic world: companies, payroll cycles, suppliers and planted anomalies
3.2 Outbox relay from the SQL ledger to Event Hubs</t>
        </is>
      </c>
      <c r="F7" s="14">
        <f>IF(D7="","",D7*'Overall'!$G$29/DeliveryDays)</f>
        <v/>
      </c>
      <c r="G7" s="14">
        <f>IF(D7="","",D7*('Overall'!$D$43+'Overall'!$D$44+'Overall'!$D$45+'Overall'!$D$46)/DeliveryDays)</f>
        <v/>
      </c>
      <c r="H7" s="15" t="n"/>
      <c r="I7" s="14">
        <f>IF(D7="","",F7+G7+N(H7))</f>
        <v/>
      </c>
      <c r="J7" s="32">
        <f>IF(OR(B7="",LastActual="",B7&gt;N(LastActual)),"",NETWORKDAYS(B7,MIN(C7,LastActual)))</f>
        <v/>
      </c>
      <c r="K7" s="32">
        <f>IF(J7="","",COUNTIFS('Project Timeline'!$A$5:$A$89,"story",'Project Timeline'!$F$5:$F$89,"&gt;="&amp;B7,'Project Timeline'!$F$5:$F$89,"&lt;="&amp;C7))</f>
        <v/>
      </c>
      <c r="L7" s="25" t="inlineStr">
        <is>
          <t>2-3-cash-position-and-liquidity</t>
        </is>
      </c>
      <c r="M7" s="14">
        <f>IF(J7="","",SUMIFS('Claude Usage Daily'!$O$5:$O$115,'Claude Usage Daily'!$A$5:$A$115,"&gt;="&amp;B7,'Claude Usage Daily'!$A$5:$A$115,"&lt;="&amp;C7))</f>
        <v/>
      </c>
      <c r="N7" s="15" t="n"/>
      <c r="O7" s="14">
        <f>IF(J7="","",IF(N7="",J7*'Overall'!$G$29/DeliveryDays,N7)+J7*('Overall'!$D$43+'Overall'!$D$44+'Overall'!$D$45+'Overall'!$D$46)/DeliveryDays+N(M7))</f>
        <v/>
      </c>
      <c r="P7" s="30">
        <f>IF(O7="","",O7-N(I7))</f>
        <v/>
      </c>
    </row>
    <row r="8">
      <c r="A8" s="32" t="n">
        <v>4</v>
      </c>
      <c r="B8" s="26">
        <f>IF(OR(D8="",ProjectStart=""),"",WORKDAY(ProjectStart,(4-1)*SprintDays))</f>
        <v/>
      </c>
      <c r="C8" s="26">
        <f>IF(B8="","",WORKDAY(B8,SprintDays-1))</f>
        <v/>
      </c>
      <c r="D8" s="32">
        <f>IF(OR(MIN(SprintDays,MAX(0,DeliveryDays-(4-1)*SprintDays))&gt;0,AND(ProjectStart&lt;&gt;"",LastActual&lt;&gt;"",WORKDAY(ProjectStart,(4-1)*SprintDays)&lt;=N(LastActual))),MIN(SprintDays,MAX(0,DeliveryDays-(4-1)*SprintDays)),"")</f>
        <v/>
      </c>
      <c r="E8" s="33" t="inlineStr">
        <is>
          <t>3.3 Bronze ingestion from the Event Hubs Kafka endpoint
3.4 Silver and gold Delta transforms with serving-schema write-back
3.5 Behind-the-scenes stage panel
4.1 Unity Catalog lineage from gold back to the Event Hubs source</t>
        </is>
      </c>
      <c r="F8" s="14">
        <f>IF(D8="","",D8*'Overall'!$G$29/DeliveryDays)</f>
        <v/>
      </c>
      <c r="G8" s="14">
        <f>IF(D8="","",D8*('Overall'!$D$43+'Overall'!$D$44+'Overall'!$D$45+'Overall'!$D$46)/DeliveryDays)</f>
        <v/>
      </c>
      <c r="H8" s="15" t="n"/>
      <c r="I8" s="14">
        <f>IF(D8="","",F8+G8+N(H8))</f>
        <v/>
      </c>
      <c r="J8" s="32">
        <f>IF(OR(B8="",LastActual="",B8&gt;N(LastActual)),"",NETWORKDAYS(B8,MIN(C8,LastActual)))</f>
        <v/>
      </c>
      <c r="K8" s="32">
        <f>IF(J8="","",COUNTIFS('Project Timeline'!$A$5:$A$89,"story",'Project Timeline'!$F$5:$F$89,"&gt;="&amp;B8,'Project Timeline'!$F$5:$F$89,"&lt;="&amp;C8))</f>
        <v/>
      </c>
      <c r="M8" s="14">
        <f>IF(J8="","",SUMIFS('Claude Usage Daily'!$O$5:$O$115,'Claude Usage Daily'!$A$5:$A$115,"&gt;="&amp;B8,'Claude Usage Daily'!$A$5:$A$115,"&lt;="&amp;C8))</f>
        <v/>
      </c>
      <c r="N8" s="15" t="n"/>
      <c r="O8" s="14">
        <f>IF(J8="","",IF(N8="",J8*'Overall'!$G$29/DeliveryDays,N8)+J8*('Overall'!$D$43+'Overall'!$D$44+'Overall'!$D$45+'Overall'!$D$46)/DeliveryDays+N(M8))</f>
        <v/>
      </c>
      <c r="P8" s="30">
        <f>IF(O8="","",O8-N(I8))</f>
        <v/>
      </c>
    </row>
    <row r="9">
      <c r="A9" s="32" t="n">
        <v>5</v>
      </c>
      <c r="B9" s="26">
        <f>IF(OR(D9="",ProjectStart=""),"",WORKDAY(ProjectStart,(5-1)*SprintDays))</f>
        <v/>
      </c>
      <c r="C9" s="26">
        <f>IF(B9="","",WORKDAY(B9,SprintDays-1))</f>
        <v/>
      </c>
      <c r="D9" s="32">
        <f>IF(OR(MIN(SprintDays,MAX(0,DeliveryDays-(5-1)*SprintDays))&gt;0,AND(ProjectStart&lt;&gt;"",LastActual&lt;&gt;"",WORKDAY(ProjectStart,(5-1)*SprintDays)&lt;=N(LastActual))),MIN(SprintDays,MAX(0,DeliveryDays-(5-1)*SprintDays)),"")</f>
        <v/>
      </c>
      <c r="E9" s="33" t="inlineStr">
        <is>
          <t>4.2 Cash forecast model tracked in MLflow and registered in Unity Catalog
4.3 Isolation Forest payment anomaly detection
4.4 Batch scoring into forecasts and anomalies tables
4.5 Forecast screen and anomaly flags in the portal</t>
        </is>
      </c>
      <c r="F9" s="14">
        <f>IF(D9="","",D9*'Overall'!$G$29/DeliveryDays)</f>
        <v/>
      </c>
      <c r="G9" s="14">
        <f>IF(D9="","",D9*('Overall'!$D$43+'Overall'!$D$44+'Overall'!$D$45+'Overall'!$D$46)/DeliveryDays)</f>
        <v/>
      </c>
      <c r="H9" s="15" t="n"/>
      <c r="I9" s="14">
        <f>IF(D9="","",F9+G9+N(H9))</f>
        <v/>
      </c>
      <c r="J9" s="32">
        <f>IF(OR(B9="",LastActual="",B9&gt;N(LastActual)),"",NETWORKDAYS(B9,MIN(C9,LastActual)))</f>
        <v/>
      </c>
      <c r="K9" s="32">
        <f>IF(J9="","",COUNTIFS('Project Timeline'!$A$5:$A$89,"story",'Project Timeline'!$F$5:$F$89,"&gt;="&amp;B9,'Project Timeline'!$F$5:$F$89,"&lt;="&amp;C9))</f>
        <v/>
      </c>
      <c r="M9" s="14">
        <f>IF(J9="","",SUMIFS('Claude Usage Daily'!$O$5:$O$115,'Claude Usage Daily'!$A$5:$A$115,"&gt;="&amp;B9,'Claude Usage Daily'!$A$5:$A$115,"&lt;="&amp;C9))</f>
        <v/>
      </c>
      <c r="N9" s="15" t="n"/>
      <c r="O9" s="14">
        <f>IF(J9="","",IF(N9="",J9*'Overall'!$G$29/DeliveryDays,N9)+J9*('Overall'!$D$43+'Overall'!$D$44+'Overall'!$D$45+'Overall'!$D$46)/DeliveryDays+N(M9))</f>
        <v/>
      </c>
      <c r="P9" s="30">
        <f>IF(O9="","",O9-N(I9))</f>
        <v/>
      </c>
    </row>
    <row r="10">
      <c r="A10" s="32" t="n">
        <v>6</v>
      </c>
      <c r="B10" s="26">
        <f>IF(OR(D10="",ProjectStart=""),"",WORKDAY(ProjectStart,(6-1)*SprintDays))</f>
        <v/>
      </c>
      <c r="C10" s="26">
        <f>IF(B10="","",WORKDAY(B10,SprintDays-1))</f>
        <v/>
      </c>
      <c r="D10" s="32">
        <f>IF(OR(MIN(SprintDays,MAX(0,DeliveryDays-(6-1)*SprintDays))&gt;0,AND(ProjectStart&lt;&gt;"",LastActual&lt;&gt;"",WORKDAY(ProjectStart,(6-1)*SprintDays)&lt;=N(LastActual))),MIN(SprintDays,MAX(0,DeliveryDays-(6-1)*SprintDays)),"")</f>
        <v/>
      </c>
      <c r="E10" s="33" t="inlineStr">
        <is>
          <t>5.1 Region-2 AKS from the same Terraform module
5.2 Front Door origins, health probes and Front Door-only ingress
5.3 SQL failover group behind a Terraform flag
5.4 Grafana requests-per-second by region
5.5 Regional failover drill and runbook</t>
        </is>
      </c>
      <c r="F10" s="14">
        <f>IF(D10="","",D10*'Overall'!$G$29/DeliveryDays)</f>
        <v/>
      </c>
      <c r="G10" s="14">
        <f>IF(D10="","",D10*('Overall'!$D$43+'Overall'!$D$44+'Overall'!$D$45+'Overall'!$D$46)/DeliveryDays)</f>
        <v/>
      </c>
      <c r="H10" s="15" t="n"/>
      <c r="I10" s="14">
        <f>IF(D10="","",F10+G10+N(H10))</f>
        <v/>
      </c>
      <c r="J10" s="32">
        <f>IF(OR(B10="",LastActual="",B10&gt;N(LastActual)),"",NETWORKDAYS(B10,MIN(C10,LastActual)))</f>
        <v/>
      </c>
      <c r="K10" s="32">
        <f>IF(J10="","",COUNTIFS('Project Timeline'!$A$5:$A$89,"story",'Project Timeline'!$F$5:$F$89,"&gt;="&amp;B10,'Project Timeline'!$F$5:$F$89,"&lt;="&amp;C10))</f>
        <v/>
      </c>
      <c r="M10" s="14">
        <f>IF(J10="","",SUMIFS('Claude Usage Daily'!$O$5:$O$115,'Claude Usage Daily'!$A$5:$A$115,"&gt;="&amp;B10,'Claude Usage Daily'!$A$5:$A$115,"&lt;="&amp;C10))</f>
        <v/>
      </c>
      <c r="N10" s="15" t="n"/>
      <c r="O10" s="14">
        <f>IF(J10="","",IF(N10="",J10*'Overall'!$G$29/DeliveryDays,N10)+J10*('Overall'!$D$43+'Overall'!$D$44+'Overall'!$D$45+'Overall'!$D$46)/DeliveryDays+N(M10))</f>
        <v/>
      </c>
      <c r="P10" s="30">
        <f>IF(O10="","",O10-N(I10))</f>
        <v/>
      </c>
    </row>
    <row r="11">
      <c r="A11" s="32" t="n">
        <v>7</v>
      </c>
      <c r="B11" s="26">
        <f>IF(OR(D11="",ProjectStart=""),"",WORKDAY(ProjectStart,(7-1)*SprintDays))</f>
        <v/>
      </c>
      <c r="C11" s="26">
        <f>IF(B11="","",WORKDAY(B11,SprintDays-1))</f>
        <v/>
      </c>
      <c r="D11" s="32">
        <f>IF(OR(MIN(SprintDays,MAX(0,DeliveryDays-(7-1)*SprintDays))&gt;0,AND(ProjectStart&lt;&gt;"",LastActual&lt;&gt;"",WORKDAY(ProjectStart,(7-1)*SprintDays)&lt;=N(LastActual))),MIN(SprintDays,MAX(0,DeliveryDays-(7-1)*SprintDays)),"")</f>
        <v/>
      </c>
      <c r="E11" s="33" t="inlineStr">
        <is>
          <t>6.1 Security controls evidence pack for the CISO review
6.2 PDPA data-protection assessment and penetration test remediation
6.3 UAT with Group Treasury and business sign-off</t>
        </is>
      </c>
      <c r="F11" s="14">
        <f>IF(D11="","",D11*'Overall'!$G$29/DeliveryDays)</f>
        <v/>
      </c>
      <c r="G11" s="14">
        <f>IF(D11="","",D11*('Overall'!$D$43+'Overall'!$D$44+'Overall'!$D$45+'Overall'!$D$46)/DeliveryDays)</f>
        <v/>
      </c>
      <c r="H11" s="15" t="n"/>
      <c r="I11" s="14">
        <f>IF(D11="","",F11+G11+N(H11))</f>
        <v/>
      </c>
      <c r="J11" s="32">
        <f>IF(OR(B11="",LastActual="",B11&gt;N(LastActual)),"",NETWORKDAYS(B11,MIN(C11,LastActual)))</f>
        <v/>
      </c>
      <c r="K11" s="32">
        <f>IF(J11="","",COUNTIFS('Project Timeline'!$A$5:$A$89,"story",'Project Timeline'!$F$5:$F$89,"&gt;="&amp;B11,'Project Timeline'!$F$5:$F$89,"&lt;="&amp;C11))</f>
        <v/>
      </c>
      <c r="M11" s="14">
        <f>IF(J11="","",SUMIFS('Claude Usage Daily'!$O$5:$O$115,'Claude Usage Daily'!$A$5:$A$115,"&gt;="&amp;B11,'Claude Usage Daily'!$A$5:$A$115,"&lt;="&amp;C11))</f>
        <v/>
      </c>
      <c r="N11" s="15" t="n"/>
      <c r="O11" s="14">
        <f>IF(J11="","",IF(N11="",J11*'Overall'!$G$29/DeliveryDays,N11)+J11*('Overall'!$D$43+'Overall'!$D$44+'Overall'!$D$45+'Overall'!$D$46)/DeliveryDays+N(M11))</f>
        <v/>
      </c>
      <c r="P11" s="30">
        <f>IF(O11="","",O11-N(I11))</f>
        <v/>
      </c>
    </row>
    <row r="12">
      <c r="A12" s="32" t="n">
        <v>8</v>
      </c>
      <c r="B12" s="26">
        <f>IF(OR(D12="",ProjectStart=""),"",WORKDAY(ProjectStart,(8-1)*SprintDays))</f>
        <v/>
      </c>
      <c r="C12" s="26">
        <f>IF(B12="","",WORKDAY(B12,SprintDays-1))</f>
        <v/>
      </c>
      <c r="D12" s="32">
        <f>IF(OR(MIN(SprintDays,MAX(0,DeliveryDays-(8-1)*SprintDays))&gt;0,AND(ProjectStart&lt;&gt;"",LastActual&lt;&gt;"",WORKDAY(ProjectStart,(8-1)*SprintDays)&lt;=N(LastActual))),MIN(SprintDays,MAX(0,DeliveryDays-(8-1)*SprintDays)),"")</f>
        <v/>
      </c>
      <c r="E12" s="33" t="inlineStr">
        <is>
          <t>6.4 CAB approval, production cut-over and hypercare</t>
        </is>
      </c>
      <c r="F12" s="14">
        <f>IF(D12="","",D12*'Overall'!$G$29/DeliveryDays)</f>
        <v/>
      </c>
      <c r="G12" s="14">
        <f>IF(D12="","",D12*('Overall'!$D$43+'Overall'!$D$44+'Overall'!$D$45+'Overall'!$D$46)/DeliveryDays)</f>
        <v/>
      </c>
      <c r="H12" s="15" t="n"/>
      <c r="I12" s="14">
        <f>IF(D12="","",F12+G12+N(H12))</f>
        <v/>
      </c>
      <c r="J12" s="32">
        <f>IF(OR(B12="",LastActual="",B12&gt;N(LastActual)),"",NETWORKDAYS(B12,MIN(C12,LastActual)))</f>
        <v/>
      </c>
      <c r="K12" s="32">
        <f>IF(J12="","",COUNTIFS('Project Timeline'!$A$5:$A$89,"story",'Project Timeline'!$F$5:$F$89,"&gt;="&amp;B12,'Project Timeline'!$F$5:$F$89,"&lt;="&amp;C12))</f>
        <v/>
      </c>
      <c r="M12" s="14">
        <f>IF(J12="","",SUMIFS('Claude Usage Daily'!$O$5:$O$115,'Claude Usage Daily'!$A$5:$A$115,"&gt;="&amp;B12,'Claude Usage Daily'!$A$5:$A$115,"&lt;="&amp;C12))</f>
        <v/>
      </c>
      <c r="N12" s="15" t="n"/>
      <c r="O12" s="14">
        <f>IF(J12="","",IF(N12="",J12*'Overall'!$G$29/DeliveryDays,N12)+J12*('Overall'!$D$43+'Overall'!$D$44+'Overall'!$D$45+'Overall'!$D$46)/DeliveryDays+N(M12))</f>
        <v/>
      </c>
      <c r="P12" s="30">
        <f>IF(O12="","",O12-N(I12))</f>
        <v/>
      </c>
    </row>
    <row r="13">
      <c r="A13" s="32" t="n">
        <v>9</v>
      </c>
      <c r="B13" s="26">
        <f>IF(OR(D13="",ProjectStart=""),"",WORKDAY(ProjectStart,(9-1)*SprintDays))</f>
        <v/>
      </c>
      <c r="C13" s="26">
        <f>IF(B13="","",WORKDAY(B13,SprintDays-1))</f>
        <v/>
      </c>
      <c r="D13" s="32">
        <f>IF(OR(MIN(SprintDays,MAX(0,DeliveryDays-(9-1)*SprintDays))&gt;0,AND(ProjectStart&lt;&gt;"",LastActual&lt;&gt;"",WORKDAY(ProjectStart,(9-1)*SprintDays)&lt;=N(LastActual))),MIN(SprintDays,MAX(0,DeliveryDays-(9-1)*SprintDays)),"")</f>
        <v/>
      </c>
      <c r="E13" s="15" t="n"/>
      <c r="F13" s="14">
        <f>IF(D13="","",D13*'Overall'!$G$29/DeliveryDays)</f>
        <v/>
      </c>
      <c r="G13" s="14">
        <f>IF(D13="","",D13*('Overall'!$D$43+'Overall'!$D$44+'Overall'!$D$45+'Overall'!$D$46)/DeliveryDays)</f>
        <v/>
      </c>
      <c r="H13" s="15" t="n"/>
      <c r="I13" s="14">
        <f>IF(D13="","",F13+G13+N(H13))</f>
        <v/>
      </c>
      <c r="J13" s="32">
        <f>IF(OR(B13="",LastActual="",B13&gt;N(LastActual)),"",NETWORKDAYS(B13,MIN(C13,LastActual)))</f>
        <v/>
      </c>
      <c r="K13" s="32">
        <f>IF(J13="","",COUNTIFS('Project Timeline'!$A$5:$A$89,"story",'Project Timeline'!$F$5:$F$89,"&gt;="&amp;B13,'Project Timeline'!$F$5:$F$89,"&lt;="&amp;C13))</f>
        <v/>
      </c>
      <c r="M13" s="14">
        <f>IF(J13="","",SUMIFS('Claude Usage Daily'!$O$5:$O$115,'Claude Usage Daily'!$A$5:$A$115,"&gt;="&amp;B13,'Claude Usage Daily'!$A$5:$A$115,"&lt;="&amp;C13))</f>
        <v/>
      </c>
      <c r="N13" s="15" t="n"/>
      <c r="O13" s="14">
        <f>IF(J13="","",IF(N13="",J13*'Overall'!$G$29/DeliveryDays,N13)+J13*('Overall'!$D$43+'Overall'!$D$44+'Overall'!$D$45+'Overall'!$D$46)/DeliveryDays+N(M13))</f>
        <v/>
      </c>
      <c r="P13" s="30">
        <f>IF(O13="","",O13-N(I13))</f>
        <v/>
      </c>
    </row>
    <row r="14">
      <c r="A14" s="32" t="n">
        <v>10</v>
      </c>
      <c r="B14" s="26">
        <f>IF(OR(D14="",ProjectStart=""),"",WORKDAY(ProjectStart,(10-1)*SprintDays))</f>
        <v/>
      </c>
      <c r="C14" s="26">
        <f>IF(B14="","",WORKDAY(B14,SprintDays-1))</f>
        <v/>
      </c>
      <c r="D14" s="32">
        <f>IF(OR(MIN(SprintDays,MAX(0,DeliveryDays-(10-1)*SprintDays))&gt;0,AND(ProjectStart&lt;&gt;"",LastActual&lt;&gt;"",WORKDAY(ProjectStart,(10-1)*SprintDays)&lt;=N(LastActual))),MIN(SprintDays,MAX(0,DeliveryDays-(10-1)*SprintDays)),"")</f>
        <v/>
      </c>
      <c r="E14" s="15" t="n"/>
      <c r="F14" s="14">
        <f>IF(D14="","",D14*'Overall'!$G$29/DeliveryDays)</f>
        <v/>
      </c>
      <c r="G14" s="14">
        <f>IF(D14="","",D14*('Overall'!$D$43+'Overall'!$D$44+'Overall'!$D$45+'Overall'!$D$46)/DeliveryDays)</f>
        <v/>
      </c>
      <c r="H14" s="15" t="n"/>
      <c r="I14" s="14">
        <f>IF(D14="","",F14+G14+N(H14))</f>
        <v/>
      </c>
      <c r="J14" s="32">
        <f>IF(OR(B14="",LastActual="",B14&gt;N(LastActual)),"",NETWORKDAYS(B14,MIN(C14,LastActual)))</f>
        <v/>
      </c>
      <c r="K14" s="32">
        <f>IF(J14="","",COUNTIFS('Project Timeline'!$A$5:$A$89,"story",'Project Timeline'!$F$5:$F$89,"&gt;="&amp;B14,'Project Timeline'!$F$5:$F$89,"&lt;="&amp;C14))</f>
        <v/>
      </c>
      <c r="M14" s="14">
        <f>IF(J14="","",SUMIFS('Claude Usage Daily'!$O$5:$O$115,'Claude Usage Daily'!$A$5:$A$115,"&gt;="&amp;B14,'Claude Usage Daily'!$A$5:$A$115,"&lt;="&amp;C14))</f>
        <v/>
      </c>
      <c r="N14" s="15" t="n"/>
      <c r="O14" s="14">
        <f>IF(J14="","",IF(N14="",J14*'Overall'!$G$29/DeliveryDays,N14)+J14*('Overall'!$D$43+'Overall'!$D$44+'Overall'!$D$45+'Overall'!$D$46)/DeliveryDays+N(M14))</f>
        <v/>
      </c>
      <c r="P14" s="30">
        <f>IF(O14="","",O14-N(I14))</f>
        <v/>
      </c>
    </row>
    <row r="15">
      <c r="A15" s="32" t="n">
        <v>11</v>
      </c>
      <c r="B15" s="26">
        <f>IF(OR(D15="",ProjectStart=""),"",WORKDAY(ProjectStart,(11-1)*SprintDays))</f>
        <v/>
      </c>
      <c r="C15" s="26">
        <f>IF(B15="","",WORKDAY(B15,SprintDays-1))</f>
        <v/>
      </c>
      <c r="D15" s="32">
        <f>IF(OR(MIN(SprintDays,MAX(0,DeliveryDays-(11-1)*SprintDays))&gt;0,AND(ProjectStart&lt;&gt;"",LastActual&lt;&gt;"",WORKDAY(ProjectStart,(11-1)*SprintDays)&lt;=N(LastActual))),MIN(SprintDays,MAX(0,DeliveryDays-(11-1)*SprintDays)),"")</f>
        <v/>
      </c>
      <c r="E15" s="15" t="n"/>
      <c r="F15" s="14">
        <f>IF(D15="","",D15*'Overall'!$G$29/DeliveryDays)</f>
        <v/>
      </c>
      <c r="G15" s="14">
        <f>IF(D15="","",D15*('Overall'!$D$43+'Overall'!$D$44+'Overall'!$D$45+'Overall'!$D$46)/DeliveryDays)</f>
        <v/>
      </c>
      <c r="H15" s="15" t="n"/>
      <c r="I15" s="14">
        <f>IF(D15="","",F15+G15+N(H15))</f>
        <v/>
      </c>
      <c r="J15" s="32">
        <f>IF(OR(B15="",LastActual="",B15&gt;N(LastActual)),"",NETWORKDAYS(B15,MIN(C15,LastActual)))</f>
        <v/>
      </c>
      <c r="K15" s="32">
        <f>IF(J15="","",COUNTIFS('Project Timeline'!$A$5:$A$89,"story",'Project Timeline'!$F$5:$F$89,"&gt;="&amp;B15,'Project Timeline'!$F$5:$F$89,"&lt;="&amp;C15))</f>
        <v/>
      </c>
      <c r="M15" s="14">
        <f>IF(J15="","",SUMIFS('Claude Usage Daily'!$O$5:$O$115,'Claude Usage Daily'!$A$5:$A$115,"&gt;="&amp;B15,'Claude Usage Daily'!$A$5:$A$115,"&lt;="&amp;C15))</f>
        <v/>
      </c>
      <c r="N15" s="15" t="n"/>
      <c r="O15" s="14">
        <f>IF(J15="","",IF(N15="",J15*'Overall'!$G$29/DeliveryDays,N15)+J15*('Overall'!$D$43+'Overall'!$D$44+'Overall'!$D$45+'Overall'!$D$46)/DeliveryDays+N(M15))</f>
        <v/>
      </c>
      <c r="P15" s="30">
        <f>IF(O15="","",O15-N(I15))</f>
        <v/>
      </c>
    </row>
    <row r="16">
      <c r="A16" s="16" t="inlineStr">
        <is>
          <t>Total</t>
        </is>
      </c>
      <c r="B16" s="16" t="n"/>
      <c r="C16" s="16" t="n"/>
      <c r="D16" s="34">
        <f>SUM(D5:D15)</f>
        <v/>
      </c>
      <c r="E16" s="16" t="n"/>
      <c r="F16" s="18">
        <f>SUM(F5:F15)</f>
        <v/>
      </c>
      <c r="G16" s="18">
        <f>SUM(G5:G15)</f>
        <v/>
      </c>
      <c r="H16" s="18">
        <f>SUM(H5:H15)</f>
        <v/>
      </c>
      <c r="I16" s="18">
        <f>SUM(I5:I15)</f>
        <v/>
      </c>
      <c r="J16" s="34">
        <f>SUM(J5:J15)</f>
        <v/>
      </c>
      <c r="K16" s="34">
        <f>SUM(K5:K15)</f>
        <v/>
      </c>
      <c r="L16" s="16" t="n"/>
      <c r="M16" s="18">
        <f>SUM(M5:M15)</f>
        <v/>
      </c>
      <c r="N16" s="18">
        <f>SUM(N5:N15)</f>
        <v/>
      </c>
      <c r="O16" s="18">
        <f>SUM(O5:O15)</f>
        <v/>
      </c>
      <c r="P16" s="18">
        <f>SUM(P5:P15)</f>
        <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4" customWidth="1" min="4" max="4"/>
    <col width="11" customWidth="1" min="5" max="5"/>
    <col width="40" customWidth="1" min="6" max="6"/>
  </cols>
  <sheetData>
    <row r="1">
      <c r="A1" s="1" t="inlineStr">
        <is>
          <t>Phase budgets: Claude API budget and actual per planning phase</t>
        </is>
      </c>
    </row>
    <row r="2">
      <c r="A2" t="inlineStr">
        <is>
          <t>In USD, at Claude API list prices. The budget each planning phase may spend (test design, governance, diagrams, course corrections ...), set once the epics and sprint plan are done; the epics and sprints carry their own budgets on their sheets. Actual: the phase's Claude cost from the ledger (Claude Usage Detail) once the close-out sheets are in. A control figure: not added to any total. Blue cells are inputs; name a phase as the token ledger does.</t>
        </is>
      </c>
    </row>
    <row r="4">
      <c r="A4" s="3" t="inlineStr">
        <is>
          <t>Phase</t>
        </is>
      </c>
      <c r="B4" s="3" t="inlineStr">
        <is>
          <t>Claude API budget (USD)</t>
        </is>
      </c>
      <c r="C4" s="3" t="inlineStr">
        <is>
          <t>Claude API actual (USD)</t>
        </is>
      </c>
      <c r="D4" s="3" t="inlineStr">
        <is>
          <t>Variance (USD)</t>
        </is>
      </c>
      <c r="E4" s="3" t="inlineStr">
        <is>
          <t>Variance %</t>
        </is>
      </c>
      <c r="F4" s="3" t="inlineStr">
        <is>
          <t>Cited from</t>
        </is>
      </c>
    </row>
    <row r="5">
      <c r="A5" s="15" t="inlineStr">
        <is>
          <t>brainstorming</t>
        </is>
      </c>
      <c r="B5" s="27" t="n">
        <v>15</v>
      </c>
      <c r="C5" s="14">
        <f>IF(A5="","",SUMIFS('Claude Usage Detail'!$P$5:$P$43,'Claude Usage Detail'!$B$5:$B$43,A5))</f>
        <v/>
      </c>
      <c r="D5" s="30">
        <f>IF(OR(A5="",C5=""),"",C5-N(B5))</f>
        <v/>
      </c>
      <c r="E5" s="29">
        <f>IF(OR(D5="",N(B5)=0),"",C5/B5-1)</f>
        <v/>
      </c>
      <c r="F5" s="25" t="inlineStr">
        <is>
          <t>assumption: owner's Claude API budget per phase; synthetic portfolio figure, owner request 2026-09-30</t>
        </is>
      </c>
    </row>
    <row r="6">
      <c r="A6" s="15" t="inlineStr">
        <is>
          <t>spec</t>
        </is>
      </c>
      <c r="B6" s="27" t="n">
        <v>30</v>
      </c>
      <c r="C6" s="14">
        <f>IF(A6="","",SUMIFS('Claude Usage Detail'!$P$5:$P$43,'Claude Usage Detail'!$B$5:$B$43,A6))</f>
        <v/>
      </c>
      <c r="D6" s="30">
        <f>IF(OR(A6="",C6=""),"",C6-N(B6))</f>
        <v/>
      </c>
      <c r="E6" s="29">
        <f>IF(OR(D6="",N(B6)=0),"",C6/B6-1)</f>
        <v/>
      </c>
      <c r="F6" s="25" t="inlineStr">
        <is>
          <t>assumption: owner's Claude API budget per phase; synthetic portfolio figure, owner request 2026-09-30</t>
        </is>
      </c>
    </row>
    <row r="7">
      <c r="A7" s="15" t="inlineStr">
        <is>
          <t>architecture</t>
        </is>
      </c>
      <c r="B7" s="27" t="n">
        <v>55</v>
      </c>
      <c r="C7" s="14">
        <f>IF(A7="","",SUMIFS('Claude Usage Detail'!$P$5:$P$43,'Claude Usage Detail'!$B$5:$B$43,A7))</f>
        <v/>
      </c>
      <c r="D7" s="30">
        <f>IF(OR(A7="",C7=""),"",C7-N(B7))</f>
        <v/>
      </c>
      <c r="E7" s="29">
        <f>IF(OR(D7="",N(B7)=0),"",C7/B7-1)</f>
        <v/>
      </c>
      <c r="F7" s="25" t="inlineStr">
        <is>
          <t>assumption: owner's Claude API budget per phase; synthetic portfolio figure, owner request 2026-09-30</t>
        </is>
      </c>
    </row>
    <row r="8">
      <c r="A8" s="15" t="inlineStr">
        <is>
          <t>UX design</t>
        </is>
      </c>
      <c r="B8" s="27" t="n">
        <v>45</v>
      </c>
      <c r="C8" s="14">
        <f>IF(A8="","",SUMIFS('Claude Usage Detail'!$P$5:$P$43,'Claude Usage Detail'!$B$5:$B$43,A8))</f>
        <v/>
      </c>
      <c r="D8" s="30">
        <f>IF(OR(A8="",C8=""),"",C8-N(B8))</f>
        <v/>
      </c>
      <c r="E8" s="29">
        <f>IF(OR(D8="",N(B8)=0),"",C8/B8-1)</f>
        <v/>
      </c>
      <c r="F8" s="25" t="inlineStr">
        <is>
          <t>assumption: owner's Claude API budget per phase; synthetic portfolio figure, owner request 2026-09-30</t>
        </is>
      </c>
    </row>
    <row r="9">
      <c r="A9" s="15" t="inlineStr">
        <is>
          <t>governance (Jules)</t>
        </is>
      </c>
      <c r="B9" s="27" t="n">
        <v>20</v>
      </c>
      <c r="C9" s="14">
        <f>IF(A9="","",SUMIFS('Claude Usage Detail'!$P$5:$P$43,'Claude Usage Detail'!$B$5:$B$43,A9))</f>
        <v/>
      </c>
      <c r="D9" s="30">
        <f>IF(OR(A9="",C9=""),"",C9-N(B9))</f>
        <v/>
      </c>
      <c r="E9" s="29">
        <f>IF(OR(D9="",N(B9)=0),"",C9/B9-1)</f>
        <v/>
      </c>
      <c r="F9" s="25" t="inlineStr">
        <is>
          <t>assumption: owner's Claude API budget per phase; synthetic portfolio figure, owner request 2026-09-30</t>
        </is>
      </c>
    </row>
    <row r="10">
      <c r="A10" s="15" t="inlineStr">
        <is>
          <t>architecture docs (Da Vinci)</t>
        </is>
      </c>
      <c r="B10" s="27" t="n">
        <v>25</v>
      </c>
      <c r="C10" s="14">
        <f>IF(A10="","",SUMIFS('Claude Usage Detail'!$P$5:$P$43,'Claude Usage Detail'!$B$5:$B$43,A10))</f>
        <v/>
      </c>
      <c r="D10" s="30">
        <f>IF(OR(A10="",C10=""),"",C10-N(B10))</f>
        <v/>
      </c>
      <c r="E10" s="29">
        <f>IF(OR(D10="",N(B10)=0),"",C10/B10-1)</f>
        <v/>
      </c>
      <c r="F10" s="25" t="inlineStr">
        <is>
          <t>assumption: owner's Claude API budget per phase; synthetic portfolio figure, owner request 2026-09-30</t>
        </is>
      </c>
    </row>
    <row r="11">
      <c r="A11" s="15" t="inlineStr">
        <is>
          <t>epics &amp; stories</t>
        </is>
      </c>
      <c r="B11" s="27" t="n">
        <v>35</v>
      </c>
      <c r="C11" s="14">
        <f>IF(A11="","",SUMIFS('Claude Usage Detail'!$P$5:$P$43,'Claude Usage Detail'!$B$5:$B$43,A11))</f>
        <v/>
      </c>
      <c r="D11" s="30">
        <f>IF(OR(A11="",C11=""),"",C11-N(B11))</f>
        <v/>
      </c>
      <c r="E11" s="29">
        <f>IF(OR(D11="",N(B11)=0),"",C11/B11-1)</f>
        <v/>
      </c>
      <c r="F11" s="25" t="inlineStr">
        <is>
          <t>assumption: owner's Claude API budget per phase; synthetic portfolio figure, owner request 2026-09-30</t>
        </is>
      </c>
    </row>
    <row r="12">
      <c r="A12" s="15" t="inlineStr">
        <is>
          <t>merges, promotions &amp; deploys</t>
        </is>
      </c>
      <c r="B12" s="27" t="n">
        <v>30</v>
      </c>
      <c r="C12" s="14">
        <f>IF(A12="","",SUMIFS('Claude Usage Detail'!$P$5:$P$43,'Claude Usage Detail'!$B$5:$B$43,A12))</f>
        <v/>
      </c>
      <c r="D12" s="30">
        <f>IF(OR(A12="",C12=""),"",C12-N(B12))</f>
        <v/>
      </c>
      <c r="E12" s="29">
        <f>IF(OR(D12="",N(B12)=0),"",C12/B12-1)</f>
        <v/>
      </c>
      <c r="F12" s="25" t="inlineStr">
        <is>
          <t>assumption: owner's Claude API budget per phase; synthetic portfolio figure, owner request 2026-09-30</t>
        </is>
      </c>
    </row>
    <row r="13">
      <c r="A13" s="15" t="n"/>
      <c r="B13" s="15" t="n"/>
      <c r="C13" s="14">
        <f>IF(A13="","",SUMIFS('Claude Usage Detail'!$P$5:$P$43,'Claude Usage Detail'!$B$5:$B$43,A13))</f>
        <v/>
      </c>
      <c r="D13" s="30">
        <f>IF(OR(A13="",C13=""),"",C13-N(B13))</f>
        <v/>
      </c>
      <c r="E13" s="29">
        <f>IF(OR(D13="",N(B13)=0),"",C13/B13-1)</f>
        <v/>
      </c>
    </row>
    <row r="14">
      <c r="A14" s="15" t="n"/>
      <c r="B14" s="15" t="n"/>
      <c r="C14" s="14">
        <f>IF(A14="","",SUMIFS('Claude Usage Detail'!$P$5:$P$43,'Claude Usage Detail'!$B$5:$B$43,A14))</f>
        <v/>
      </c>
      <c r="D14" s="30">
        <f>IF(OR(A14="",C14=""),"",C14-N(B14))</f>
        <v/>
      </c>
      <c r="E14" s="29">
        <f>IF(OR(D14="",N(B14)=0),"",C14/B14-1)</f>
        <v/>
      </c>
    </row>
    <row r="15">
      <c r="A15" s="15" t="n"/>
      <c r="B15" s="15" t="n"/>
      <c r="C15" s="14">
        <f>IF(A15="","",SUMIFS('Claude Usage Detail'!$P$5:$P$43,'Claude Usage Detail'!$B$5:$B$43,A15))</f>
        <v/>
      </c>
      <c r="D15" s="30">
        <f>IF(OR(A15="",C15=""),"",C15-N(B15))</f>
        <v/>
      </c>
      <c r="E15" s="29">
        <f>IF(OR(D15="",N(B15)=0),"",C15/B15-1)</f>
        <v/>
      </c>
    </row>
    <row r="16">
      <c r="A16" s="16" t="inlineStr">
        <is>
          <t>Total</t>
        </is>
      </c>
      <c r="B16" s="18">
        <f>SUM(B5:B15)</f>
        <v/>
      </c>
      <c r="C16" s="18">
        <f>SUM(C5:C15)</f>
        <v/>
      </c>
      <c r="D16" s="18">
        <f>SUM(D5:D15)</f>
        <v/>
      </c>
      <c r="E16" s="16" t="n"/>
      <c r="F16" s="16"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5" customWidth="1" min="1" max="1"/>
    <col width="30" customWidth="1" min="2" max="2"/>
    <col width="28" customWidth="1" min="3" max="3"/>
    <col width="14" customWidth="1" min="4" max="4"/>
    <col width="14" customWidth="1" min="5" max="5"/>
    <col width="14" customWidth="1" min="6" max="6"/>
    <col width="14" customWidth="1" min="7" max="7"/>
    <col width="14" customWidth="1" min="8" max="8"/>
    <col width="40" customWidth="1" min="9" max="9"/>
    <col width="30" customWidth="1" min="10" max="10"/>
  </cols>
  <sheetData>
    <row r="1">
      <c r="A1" s="1" t="inlineStr">
        <is>
          <t>Revenue</t>
        </is>
      </c>
    </row>
    <row r="2">
      <c r="A2" t="inlineStr">
        <is>
          <t>Revenue the solution earns, per year after go-live, in USD, from the owner or the business case; each stream cites its source. Years past the horizon are ignored. Blue cells are inputs.</t>
        </is>
      </c>
    </row>
    <row r="4">
      <c r="A4" s="3" t="inlineStr">
        <is>
          <t>#</t>
        </is>
      </c>
      <c r="B4" s="3" t="inlineStr">
        <is>
          <t>Stream</t>
        </is>
      </c>
      <c r="C4" s="3" t="inlineStr">
        <is>
          <t>Basis</t>
        </is>
      </c>
      <c r="D4" s="3" t="inlineStr">
        <is>
          <t>Year 1</t>
        </is>
      </c>
      <c r="E4" s="3" t="inlineStr">
        <is>
          <t>Year 2</t>
        </is>
      </c>
      <c r="F4" s="3" t="inlineStr">
        <is>
          <t>Year 3</t>
        </is>
      </c>
      <c r="G4" s="3" t="inlineStr">
        <is>
          <t>Year 4</t>
        </is>
      </c>
      <c r="H4" s="3" t="inlineStr">
        <is>
          <t>Year 5</t>
        </is>
      </c>
      <c r="I4" s="3" t="inlineStr">
        <is>
          <t>Cited from</t>
        </is>
      </c>
      <c r="J4" s="3" t="inlineStr">
        <is>
          <t>Note</t>
        </is>
      </c>
    </row>
    <row r="5">
      <c r="D5" s="15" t="n"/>
      <c r="E5" s="15" t="n"/>
      <c r="F5" s="15" t="n"/>
      <c r="G5" s="15" t="n"/>
      <c r="H5" s="15" t="n"/>
    </row>
    <row r="6">
      <c r="D6" s="15" t="n"/>
      <c r="E6" s="15" t="n"/>
      <c r="F6" s="15" t="n"/>
      <c r="G6" s="15" t="n"/>
      <c r="H6" s="15" t="n"/>
    </row>
    <row r="7">
      <c r="D7" s="15" t="n"/>
      <c r="E7" s="15" t="n"/>
      <c r="F7" s="15" t="n"/>
      <c r="G7" s="15" t="n"/>
      <c r="H7" s="15" t="n"/>
    </row>
    <row r="8">
      <c r="A8" s="16" t="inlineStr">
        <is>
          <t>Total</t>
        </is>
      </c>
      <c r="B8" s="16" t="n"/>
      <c r="C8" s="16" t="n"/>
      <c r="D8" s="18">
        <f>SUM(D5:D7)</f>
        <v/>
      </c>
      <c r="E8" s="18">
        <f>SUM(E5:E7)</f>
        <v/>
      </c>
      <c r="F8" s="18">
        <f>SUM(F5:F7)</f>
        <v/>
      </c>
      <c r="G8" s="18">
        <f>SUM(G5:G7)</f>
        <v/>
      </c>
      <c r="H8" s="18">
        <f>SUM(H5:H7)</f>
        <v/>
      </c>
      <c r="I8" s="16" t="n"/>
      <c r="J8" s="16"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50" customWidth="1" min="3" max="3"/>
  </cols>
  <sheetData>
    <row r="1">
      <c r="A1" s="1" t="inlineStr">
        <is>
          <t>Employee rate card</t>
        </is>
      </c>
    </row>
    <row r="2">
      <c r="A2" t="inlineStr">
        <is>
          <t>Day rates in USD. Source: owner, 2026-09-28 (blended average day rate per person); updated 2026-09-30. Blue cells are inputs; the team and support tables look roles up here.</t>
        </is>
      </c>
    </row>
    <row r="4">
      <c r="A4" s="3" t="inlineStr">
        <is>
          <t>Role</t>
        </is>
      </c>
      <c r="B4" s="3" t="inlineStr">
        <is>
          <t>Day rate (USD)</t>
        </is>
      </c>
      <c r="C4" s="3" t="inlineStr">
        <is>
          <t>Note</t>
        </is>
      </c>
    </row>
    <row r="5">
      <c r="A5" t="inlineStr">
        <is>
          <t>Team member (blended)</t>
        </is>
      </c>
      <c r="B5" s="27" t="n">
        <v>800</v>
      </c>
      <c r="C5" t="inlineStr">
        <is>
          <t>blended average across delivery roles</t>
        </is>
      </c>
    </row>
    <row r="6">
      <c r="A6" t="inlineStr">
        <is>
          <t>Delivery lead</t>
        </is>
      </c>
      <c r="B6" s="27" t="n">
        <v>800</v>
      </c>
      <c r="C6" t="inlineStr">
        <is>
          <t>blended rate</t>
        </is>
      </c>
    </row>
    <row r="7">
      <c r="A7" t="inlineStr">
        <is>
          <t>Solution architect</t>
        </is>
      </c>
      <c r="B7" s="27" t="n">
        <v>800</v>
      </c>
      <c r="C7" t="inlineStr">
        <is>
          <t>blended rate</t>
        </is>
      </c>
    </row>
    <row r="8">
      <c r="A8" t="inlineStr">
        <is>
          <t>Full-stack developer</t>
        </is>
      </c>
      <c r="B8" s="27" t="n">
        <v>800</v>
      </c>
      <c r="C8" t="inlineStr">
        <is>
          <t>blended rate</t>
        </is>
      </c>
    </row>
    <row r="9">
      <c r="A9" t="inlineStr">
        <is>
          <t>Mobile developer</t>
        </is>
      </c>
      <c r="B9" s="27" t="n">
        <v>800</v>
      </c>
      <c r="C9" t="inlineStr">
        <is>
          <t>blended rate</t>
        </is>
      </c>
    </row>
    <row r="10">
      <c r="A10" t="inlineStr">
        <is>
          <t>Cloud / DevOps engineer</t>
        </is>
      </c>
      <c r="B10" s="27" t="n">
        <v>800</v>
      </c>
      <c r="C10" t="inlineStr">
        <is>
          <t>blended rate</t>
        </is>
      </c>
    </row>
    <row r="11">
      <c r="A11" t="inlineStr">
        <is>
          <t>Data engineer</t>
        </is>
      </c>
      <c r="B11" s="27" t="n">
        <v>800</v>
      </c>
      <c r="C11" t="inlineStr">
        <is>
          <t>blended rate</t>
        </is>
      </c>
    </row>
    <row r="12">
      <c r="A12" t="inlineStr">
        <is>
          <t>QA engineer</t>
        </is>
      </c>
      <c r="B12" s="27" t="n">
        <v>800</v>
      </c>
      <c r="C12" t="inlineStr">
        <is>
          <t>blended rate</t>
        </is>
      </c>
    </row>
    <row r="13">
      <c r="A13" t="inlineStr">
        <is>
          <t>UX designer</t>
        </is>
      </c>
      <c r="B13" s="27" t="n">
        <v>800</v>
      </c>
      <c r="C13" t="inlineStr">
        <is>
          <t>blended rate</t>
        </is>
      </c>
    </row>
    <row r="14">
      <c r="A14" t="inlineStr">
        <is>
          <t>Support engineer</t>
        </is>
      </c>
      <c r="B14" s="27" t="n">
        <v>800</v>
      </c>
      <c r="C14" t="inlineStr">
        <is>
          <t>blended rate, run support (OPEX)</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Other one-off costs</t>
        </is>
      </c>
    </row>
    <row r="2">
      <c r="A2" t="inlineStr">
        <is>
          <t>Licences, tests, training and other one-off costs of the build, outside the environments and the team, in USD.</t>
        </is>
      </c>
    </row>
    <row r="4">
      <c r="A4" s="3" t="inlineStr">
        <is>
          <t>#</t>
        </is>
      </c>
      <c r="B4" s="3" t="inlineStr">
        <is>
          <t>Item</t>
        </is>
      </c>
      <c r="C4" s="3" t="inlineStr">
        <is>
          <t>Amount (USD)</t>
        </is>
      </c>
      <c r="D4" s="3" t="inlineStr">
        <is>
          <t>Cited from</t>
        </is>
      </c>
      <c r="E4" s="3" t="inlineStr">
        <is>
          <t>Note</t>
        </is>
      </c>
      <c r="F4" s="3" t="inlineStr">
        <is>
          <t>Epic</t>
        </is>
      </c>
    </row>
    <row r="5">
      <c r="A5" t="n">
        <v>1</v>
      </c>
      <c r="B5" t="inlineStr">
        <is>
          <t>Penetration test (external CREST tester)</t>
        </is>
      </c>
      <c r="C5" s="27" t="n">
        <v>18000</v>
      </c>
      <c r="D5" t="inlineStr">
        <is>
          <t>assumption: pre-go-live pen test required by Sentral's Group Security; synthetic portfolio figure, owner request 2026-09-30</t>
        </is>
      </c>
      <c r="E5" t="inlineStr"/>
      <c r="F5" s="7" t="n">
        <v>6</v>
      </c>
    </row>
    <row r="6">
      <c r="A6" t="n">
        <v>2</v>
      </c>
      <c r="B6" t="inlineStr">
        <is>
          <t>PDPA data-protection impact assessment</t>
        </is>
      </c>
      <c r="C6" s="27" t="n">
        <v>7500</v>
      </c>
      <c r="D6" t="inlineStr">
        <is>
          <t>assumption: external privacy counsel for PDPA 2010 and cross-border transfer; synthetic portfolio figure, owner request 2026-09-30</t>
        </is>
      </c>
      <c r="E6" t="inlineStr"/>
      <c r="F6" s="7" t="n">
        <v>6</v>
      </c>
    </row>
    <row r="7">
      <c r="C7" s="15" t="n"/>
      <c r="F7" s="15" t="n"/>
    </row>
    <row r="8">
      <c r="C8" s="15" t="n"/>
      <c r="F8" s="15" t="n"/>
    </row>
    <row r="9">
      <c r="C9" s="15" t="n"/>
      <c r="F9" s="15" t="n"/>
    </row>
    <row r="10">
      <c r="A10" s="16" t="inlineStr">
        <is>
          <t>Total</t>
        </is>
      </c>
      <c r="B10" s="16" t="n"/>
      <c r="C10" s="18">
        <f>SUM(C5:C9)</f>
        <v/>
      </c>
      <c r="D10" s="16" t="n"/>
      <c r="E10" s="16" t="n"/>
      <c r="F10" s="16"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Recurring run costs (OPEX)</t>
        </is>
      </c>
    </row>
    <row r="2">
      <c r="A2" t="inlineStr">
        <is>
          <t>Yearly costs of running the solution outside the cloud environments and the support team: support contracts, licences, subscriptions. In USD per year; the Multi-Year sheet escalates them by the yearly increase.</t>
        </is>
      </c>
    </row>
    <row r="4">
      <c r="A4" s="3" t="inlineStr">
        <is>
          <t>#</t>
        </is>
      </c>
      <c r="B4" s="3" t="inlineStr">
        <is>
          <t>Item</t>
        </is>
      </c>
      <c r="C4" s="3" t="inlineStr">
        <is>
          <t>Annual cost (USD)</t>
        </is>
      </c>
      <c r="D4" s="3" t="inlineStr">
        <is>
          <t>Cited from</t>
        </is>
      </c>
      <c r="E4" s="3" t="inlineStr">
        <is>
          <t>Note</t>
        </is>
      </c>
    </row>
    <row r="5">
      <c r="A5" t="n">
        <v>1</v>
      </c>
      <c r="B5" t="inlineStr">
        <is>
          <t>Annual penetration test</t>
        </is>
      </c>
      <c r="C5" s="27" t="n">
        <v>15000</v>
      </c>
      <c r="D5" t="inlineStr">
        <is>
          <t>assumption: Sentral Group Security policy, yearly retest; synthetic portfolio figure, owner request 2026-09-30</t>
        </is>
      </c>
      <c r="E5" t="inlineStr"/>
    </row>
    <row r="6">
      <c r="C6" s="15" t="n"/>
    </row>
    <row r="7">
      <c r="C7" s="15" t="n"/>
    </row>
    <row r="8">
      <c r="C8" s="15" t="n"/>
    </row>
    <row r="9">
      <c r="A9" s="16" t="inlineStr">
        <is>
          <t>Total</t>
        </is>
      </c>
      <c r="B9" s="16" t="n"/>
      <c r="C9" s="18">
        <f>SUM(C5:C8)</f>
        <v/>
      </c>
      <c r="D9" s="16" t="n"/>
      <c r="E9" s="16"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3"/>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Dev environment</t>
        </is>
      </c>
    </row>
    <row r="2">
      <c r="A2" t="inlineStr">
        <is>
          <t>Azure retail list prices (pay-as-you-go) in westus3, USD, fetched 2026-09-30.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system node</t>
        </is>
      </c>
      <c r="C5" t="inlineStr">
        <is>
          <t>Virtual Machines</t>
        </is>
      </c>
      <c r="D5" t="inlineStr">
        <is>
          <t>Standard_D4s_v5</t>
        </is>
      </c>
      <c r="E5" t="inlineStr">
        <is>
          <t>1 Hour</t>
        </is>
      </c>
      <c r="F5" s="35" t="n">
        <v>0.192</v>
      </c>
      <c r="G5" s="4" t="n">
        <v>1</v>
      </c>
      <c r="H5" s="4" t="n">
        <v>220</v>
      </c>
      <c r="I5" s="14">
        <f>F5*G5*H5*FxRate</f>
        <v/>
      </c>
      <c r="J5" s="14">
        <f>I5*12/365</f>
        <v/>
      </c>
      <c r="K5" s="14">
        <f>I5*12</f>
        <v/>
      </c>
      <c r="L5" s="25" t="inlineStr">
        <is>
          <t>_bmad-output/specs/spec-corporate-portal-poc/stack.md AKS with Node Auto Provisioning</t>
        </is>
      </c>
      <c r="M5" s="25" t="inlineStr">
        <is>
          <t>Azure Retail Prices API, Virtual Machines Dsv5 Series / D4s v5, westus3, USD per 1 Hour, meterId a7d0753e-6fcd-5b61-8b6e-4727c10691a1, fetched 2026-09-30</t>
        </is>
      </c>
      <c r="N5" s="25" t="inlineStr">
        <is>
          <t>One regular system node; cluster stopped nights and weekends (~220 h/month), per cost-budget.md</t>
        </is>
      </c>
      <c r="O5" t="inlineStr">
        <is>
          <t>Dev</t>
        </is>
      </c>
    </row>
    <row r="6">
      <c r="A6" t="n">
        <v>2</v>
      </c>
      <c r="B6" t="inlineStr">
        <is>
          <t>AKS spot service nodes</t>
        </is>
      </c>
      <c r="C6" t="inlineStr">
        <is>
          <t>Virtual Machines</t>
        </is>
      </c>
      <c r="D6" t="inlineStr">
        <is>
          <t>Standard_D4s_v5 Spot</t>
        </is>
      </c>
      <c r="E6" t="inlineStr">
        <is>
          <t>1 Hour</t>
        </is>
      </c>
      <c r="F6" s="35" t="n">
        <v>0.035597</v>
      </c>
      <c r="G6" s="4" t="n">
        <v>2</v>
      </c>
      <c r="H6" s="4" t="n">
        <v>220</v>
      </c>
      <c r="I6" s="14">
        <f>F6*G6*H6*FxRate</f>
        <v/>
      </c>
      <c r="J6" s="14">
        <f>I6*12/365</f>
        <v/>
      </c>
      <c r="K6" s="14">
        <f>I6*12</f>
        <v/>
      </c>
      <c r="L6" s="25" t="inlineStr">
        <is>
          <t>_bmad-output/specs/spec-corporate-portal-poc/stack.md spot nodes for services during development</t>
        </is>
      </c>
      <c r="M6" s="25" t="inlineStr">
        <is>
          <t>Azure Retail Prices API, Virtual Machines Dsv5 Series / D4s v5 Spot, westus3, USD per 1 Hour, meterId 6e242d37-4313-55fe-aa86-eb489f126a81, fetched 2026-09-30</t>
        </is>
      </c>
      <c r="N6" s="25" t="inlineStr">
        <is>
          <t>Karpenter spot nodes, stopped with the cluster</t>
        </is>
      </c>
      <c r="O6" t="inlineStr">
        <is>
          <t>Dev</t>
        </is>
      </c>
    </row>
    <row r="7">
      <c r="A7" t="n">
        <v>3</v>
      </c>
      <c r="B7" t="inlineStr">
        <is>
          <t>Azure SQL ledger (Basic)</t>
        </is>
      </c>
      <c r="C7" t="inlineStr">
        <is>
          <t>SQL Database</t>
        </is>
      </c>
      <c r="D7" t="inlineStr">
        <is>
          <t>Basic 5 DTU</t>
        </is>
      </c>
      <c r="E7" t="inlineStr">
        <is>
          <t>1/Day</t>
        </is>
      </c>
      <c r="F7" s="35" t="n">
        <v>0.161</v>
      </c>
      <c r="G7" s="4" t="n">
        <v>1</v>
      </c>
      <c r="H7" s="4" t="n">
        <v>30.4167</v>
      </c>
      <c r="I7" s="14">
        <f>F7*G7*H7*FxRate</f>
        <v/>
      </c>
      <c r="J7" s="14">
        <f>I7*12/365</f>
        <v/>
      </c>
      <c r="K7" s="14">
        <f>I7*12</f>
        <v/>
      </c>
      <c r="L7" s="25" t="inlineStr">
        <is>
          <t>_bmad-output/specs/spec-corporate-portal-poc/stack.md Basic tier during development</t>
        </is>
      </c>
      <c r="M7" s="25" t="inlineStr">
        <is>
          <t>Azure Retail Prices API, SQL Database Single Basic / B DTU, westus3, USD per 1/Day, meterId cae64797-9ecf-4906-b517-6238c80c045f, fetched 2026-09-30</t>
        </is>
      </c>
      <c r="N7" s="25" t="inlineStr"/>
      <c r="O7" t="inlineStr">
        <is>
          <t>Dev</t>
        </is>
      </c>
    </row>
    <row r="8">
      <c r="A8" t="n">
        <v>4</v>
      </c>
      <c r="B8" t="inlineStr">
        <is>
          <t>Event Hubs namespace</t>
        </is>
      </c>
      <c r="C8" t="inlineStr">
        <is>
          <t>Event Hubs</t>
        </is>
      </c>
      <c r="D8" t="inlineStr">
        <is>
          <t>Standard, 1 TU</t>
        </is>
      </c>
      <c r="E8" t="inlineStr">
        <is>
          <t>1 Hour</t>
        </is>
      </c>
      <c r="F8" s="35" t="n">
        <v>0.03</v>
      </c>
      <c r="G8" s="4" t="n">
        <v>1</v>
      </c>
      <c r="H8" s="13">
        <f>HoursPerMonth</f>
        <v/>
      </c>
      <c r="I8" s="14">
        <f>F8*G8*H8*FxRate</f>
        <v/>
      </c>
      <c r="J8" s="14">
        <f>I8*12/365</f>
        <v/>
      </c>
      <c r="K8" s="14">
        <f>I8*12</f>
        <v/>
      </c>
      <c r="L8" s="25" t="inlineStr">
        <is>
          <t>_bmad-output/specs/spec-corporate-portal-poc/stack.md Event Hubs Standard (1 TU, 7-day retention)</t>
        </is>
      </c>
      <c r="M8" s="25" t="inlineStr">
        <is>
          <t>Azure Retail Prices API, Event Hubs / Standard Throughput Unit, westus3, USD per 1 Hour, meterId 62d94a65-9300-48a6-8c15-0e70fc41eb44, fetched 2026-09-30</t>
        </is>
      </c>
      <c r="N8" s="25" t="inlineStr"/>
      <c r="O8" t="inlineStr">
        <is>
          <t>Dev</t>
        </is>
      </c>
    </row>
    <row r="9">
      <c r="A9" t="n">
        <v>5</v>
      </c>
      <c r="B9" t="inlineStr">
        <is>
          <t>Databricks jobs compute (DBU)</t>
        </is>
      </c>
      <c r="C9" t="inlineStr">
        <is>
          <t>Azure Databricks</t>
        </is>
      </c>
      <c r="D9" t="inlineStr">
        <is>
          <t>Premium Jobs Compute</t>
        </is>
      </c>
      <c r="E9" t="inlineStr">
        <is>
          <t>1 Hour</t>
        </is>
      </c>
      <c r="F9" s="35" t="n">
        <v>0.3</v>
      </c>
      <c r="G9" s="4" t="n">
        <v>1</v>
      </c>
      <c r="H9" s="4" t="n">
        <v>40</v>
      </c>
      <c r="I9" s="14">
        <f>F9*G9*H9*FxRate</f>
        <v/>
      </c>
      <c r="J9" s="14">
        <f>I9*12/365</f>
        <v/>
      </c>
      <c r="K9" s="14">
        <f>I9*12</f>
        <v/>
      </c>
      <c r="L9" s="25" t="inlineStr">
        <is>
          <t>_bmad-output/specs/spec-corporate-portal-poc/stack.md Databricks Premium:</t>
        </is>
      </c>
      <c r="M9" s="25" t="inlineStr">
        <is>
          <t>Azure Retail Prices API, Azure Databricks / Premium Jobs Compute DBU, westus3, USD per 1 Hour, meterId 8ee07b23-82ae-430e-a417-a050463ff4ee, fetched 2026-09-30</t>
        </is>
      </c>
      <c r="N9" s="25" t="inlineStr">
        <is>
          <t>assumption: single-node D4s_v5 at 1 DBU/h, ~40 h a month of on-demand runs (cluster policy auto-stops after 10 min); synthetic portfolio figure, owner request 2026-09-30</t>
        </is>
      </c>
      <c r="O9" t="inlineStr">
        <is>
          <t>Dev</t>
        </is>
      </c>
    </row>
    <row r="10">
      <c r="A10" t="n">
        <v>6</v>
      </c>
      <c r="B10" t="inlineStr">
        <is>
          <t>Databricks cluster VM</t>
        </is>
      </c>
      <c r="C10" t="inlineStr">
        <is>
          <t>Virtual Machines</t>
        </is>
      </c>
      <c r="D10" t="inlineStr">
        <is>
          <t>Standard_D4s_v5</t>
        </is>
      </c>
      <c r="E10" t="inlineStr">
        <is>
          <t>1 Hour</t>
        </is>
      </c>
      <c r="F10" s="35" t="n">
        <v>0.192</v>
      </c>
      <c r="G10" s="4" t="n">
        <v>1</v>
      </c>
      <c r="H10" s="4" t="n">
        <v>40</v>
      </c>
      <c r="I10" s="14">
        <f>F10*G10*H10*FxRate</f>
        <v/>
      </c>
      <c r="J10" s="14">
        <f>I10*12/365</f>
        <v/>
      </c>
      <c r="K10" s="14">
        <f>I10*12</f>
        <v/>
      </c>
      <c r="L10" s="25" t="inlineStr">
        <is>
          <t>_bmad-output/specs/spec-corporate-portal-poc/stack.md Cluster policy: single node, smallest VM, auto-stop after 10 minutes</t>
        </is>
      </c>
      <c r="M10" s="25" t="inlineStr">
        <is>
          <t>Azure Retail Prices API, Virtual Machines Dsv5 Series / D4s v5, westus3, USD per 1 Hour, meterId a7d0753e-6fcd-5b61-8b6e-4727c10691a1, fetched 2026-09-30</t>
        </is>
      </c>
      <c r="N10" s="25" t="inlineStr">
        <is>
          <t>same ~40 h a month as the DBUs</t>
        </is>
      </c>
      <c r="O10" t="inlineStr">
        <is>
          <t>Dev</t>
        </is>
      </c>
    </row>
    <row r="11">
      <c r="A11" t="n">
        <v>7</v>
      </c>
      <c r="B11" t="inlineStr">
        <is>
          <t>Data lake (ADLS Gen2)</t>
        </is>
      </c>
      <c r="C11" t="inlineStr">
        <is>
          <t>Storage</t>
        </is>
      </c>
      <c r="D11" t="inlineStr">
        <is>
          <t>Hot LRS, hierarchical namespace</t>
        </is>
      </c>
      <c r="E11" t="inlineStr">
        <is>
          <t>1 GB/Month</t>
        </is>
      </c>
      <c r="F11" s="35" t="n">
        <v>0.0184</v>
      </c>
      <c r="G11" s="4" t="n">
        <v>100</v>
      </c>
      <c r="H11" s="4" t="n">
        <v>1</v>
      </c>
      <c r="I11" s="14">
        <f>F11*G11*H11*FxRate</f>
        <v/>
      </c>
      <c r="J11" s="14">
        <f>I11*12/365</f>
        <v/>
      </c>
      <c r="K11" s="14">
        <f>I11*12</f>
        <v/>
      </c>
      <c r="L11" s="25" t="inlineStr">
        <is>
          <t>_bmad-output/specs/spec-corporate-portal-poc/stack.md Medallion: ADLS Gen2</t>
        </is>
      </c>
      <c r="M11" s="25" t="inlineStr">
        <is>
          <t>Azure Retail Prices API, Azure Data Lake Storage Gen2 Hierarchical Namespace / Hot LRS Data Stored, westus3, USD per 1 GB/Month, meterId 08da9c52-d07e-566a-8952-89c0e93464b6, fetched 2026-09-30</t>
        </is>
      </c>
      <c r="N11" s="25" t="inlineStr">
        <is>
          <t>assumption: 100 GB of synthetic bronze/silver/gold data; synthetic portfolio figure, owner request 2026-09-30</t>
        </is>
      </c>
      <c r="O11" t="inlineStr">
        <is>
          <t>Dev</t>
        </is>
      </c>
    </row>
    <row r="12">
      <c r="A12" t="n">
        <v>8</v>
      </c>
      <c r="B12" t="inlineStr">
        <is>
          <t>Key Vault operations</t>
        </is>
      </c>
      <c r="C12" t="inlineStr">
        <is>
          <t>Key Vault</t>
        </is>
      </c>
      <c r="D12" t="inlineStr">
        <is>
          <t>Standard</t>
        </is>
      </c>
      <c r="E12" t="inlineStr">
        <is>
          <t>10K</t>
        </is>
      </c>
      <c r="F12" s="35" t="n">
        <v>0.03</v>
      </c>
      <c r="G12" s="4" t="n">
        <v>10</v>
      </c>
      <c r="H12" s="4" t="n">
        <v>1</v>
      </c>
      <c r="I12" s="14">
        <f>F12*G12*H12*FxRate</f>
        <v/>
      </c>
      <c r="J12" s="14">
        <f>I12*12/365</f>
        <v/>
      </c>
      <c r="K12" s="14">
        <f>I12*12</f>
        <v/>
      </c>
      <c r="L12" s="25" t="inlineStr">
        <is>
          <t>_bmad-output/specs/spec-corporate-portal-poc/stack.md HashiCorp Vault for app secrets</t>
        </is>
      </c>
      <c r="M12" s="25" t="inlineStr">
        <is>
          <t>Azure Retail Prices API, Key Vault / Operations (Standard), westus3, USD per 10K, meterId 0f824807-2376-435c-95c9-f992b67a07b0, fetched 2026-09-30</t>
        </is>
      </c>
      <c r="N12" s="25" t="inlineStr">
        <is>
          <t>assumption: 100K operations a month (Vault auto-unseal and root credentials); synthetic portfolio figure, owner request 2026-09-30</t>
        </is>
      </c>
      <c r="O12" t="inlineStr">
        <is>
          <t>Dev</t>
        </is>
      </c>
    </row>
    <row r="13">
      <c r="A13" t="n">
        <v>9</v>
      </c>
      <c r="B13" t="inlineStr">
        <is>
          <t>Private endpoints</t>
        </is>
      </c>
      <c r="C13" t="inlineStr">
        <is>
          <t>Virtual Network</t>
        </is>
      </c>
      <c r="D13" t="inlineStr">
        <is>
          <t>Standard Private Endpoint</t>
        </is>
      </c>
      <c r="E13" t="inlineStr">
        <is>
          <t>1 Hour</t>
        </is>
      </c>
      <c r="F13" s="35" t="n">
        <v>0.01</v>
      </c>
      <c r="G13" s="4" t="n">
        <v>4</v>
      </c>
      <c r="H13" s="13">
        <f>HoursPerMonth</f>
        <v/>
      </c>
      <c r="I13" s="14">
        <f>F13*G13*H13*FxRate</f>
        <v/>
      </c>
      <c r="J13" s="14">
        <f>I13*12/365</f>
        <v/>
      </c>
      <c r="K13" s="14">
        <f>I13*12</f>
        <v/>
      </c>
      <c r="L13" s="25" t="inlineStr">
        <is>
          <t>_bmad-output/specs/spec-corporate-portal-poc/stack.md Private endpoints: ADLS, SQL, Key Vault and Event Hubs</t>
        </is>
      </c>
      <c r="M13" s="25" t="inlineStr">
        <is>
          <t>Azure Retail Prices API, Virtual Network Private Link / Standard Private Endpoint, Global, USD per 1 Hour, meterId e6ab7238-e433-4fe0-a2b2-2b2564df2cdb, fetched 2026-09-30</t>
        </is>
      </c>
      <c r="N13" s="25" t="inlineStr">
        <is>
          <t>4 endpoints (lake, SQL, Key Vault, Event Hubs per region)</t>
        </is>
      </c>
      <c r="O13" t="inlineStr">
        <is>
          <t>Dev</t>
        </is>
      </c>
    </row>
    <row r="14">
      <c r="A14" t="n">
        <v>10</v>
      </c>
      <c r="B14" t="inlineStr">
        <is>
          <t>Private endpoint data processed</t>
        </is>
      </c>
      <c r="C14" t="inlineStr">
        <is>
          <t>Virtual Network</t>
        </is>
      </c>
      <c r="D14" t="inlineStr">
        <is>
          <t>Private Link data processed</t>
        </is>
      </c>
      <c r="E14" t="inlineStr">
        <is>
          <t>1 GB</t>
        </is>
      </c>
      <c r="F14" s="35" t="n">
        <v>0.01</v>
      </c>
      <c r="G14" s="4" t="n">
        <v>1</v>
      </c>
      <c r="H14" s="4" t="n">
        <v>20</v>
      </c>
      <c r="I14" s="14">
        <f>F14*G14*H14*FxRate</f>
        <v/>
      </c>
      <c r="J14" s="14">
        <f>I14*12/365</f>
        <v/>
      </c>
      <c r="K14" s="14">
        <f>I14*12</f>
        <v/>
      </c>
      <c r="L14" s="25" t="inlineStr">
        <is>
          <t>_bmad-output/specs/spec-corporate-portal-poc/stack.md Private endpoints: ADLS, SQL, Key Vault and Event Hubs</t>
        </is>
      </c>
      <c r="M14" s="25" t="inlineStr">
        <is>
          <t>Azure Retail Prices API, Virtual Network Private Link / Standard Data Processed - Ingress, Global, USD per 1 GB, meterId 10caa28b-6479-4852-9eb7-610870cb6417, fetched 2026-09-30</t>
        </is>
      </c>
      <c r="N14" s="25" t="inlineStr">
        <is>
          <t>assumption: 20 GB a month through the private endpoints; synthetic portfolio figure, owner request 2026-09-30</t>
        </is>
      </c>
      <c r="O14" t="inlineStr">
        <is>
          <t>Dev</t>
        </is>
      </c>
    </row>
    <row r="15">
      <c r="A15" t="n">
        <v>11</v>
      </c>
      <c r="B15" t="inlineStr">
        <is>
          <t>Private DNS zones</t>
        </is>
      </c>
      <c r="C15" t="inlineStr">
        <is>
          <t>Azure DNS</t>
        </is>
      </c>
      <c r="D15" t="inlineStr">
        <is>
          <t>Private Zone</t>
        </is>
      </c>
      <c r="E15" t="inlineStr">
        <is>
          <t>1/Month</t>
        </is>
      </c>
      <c r="F15" s="35" t="n">
        <v>0.5</v>
      </c>
      <c r="G15" s="4" t="n">
        <v>4</v>
      </c>
      <c r="H15" s="4" t="n">
        <v>1</v>
      </c>
      <c r="I15" s="14">
        <f>F15*G15*H15*FxRate</f>
        <v/>
      </c>
      <c r="J15" s="14">
        <f>I15*12/365</f>
        <v/>
      </c>
      <c r="K15" s="14">
        <f>I15*12</f>
        <v/>
      </c>
      <c r="L15" s="25" t="inlineStr">
        <is>
          <t>_bmad-output/specs/spec-corporate-portal-poc/stack.md Private endpoints: ADLS, SQL, Key Vault and Event Hubs</t>
        </is>
      </c>
      <c r="M15" s="25" t="inlineStr">
        <is>
          <t>Azure Retail Prices API, Azure DNS / Private Zone, Zone 1, USD per 1, meterId 0b608a26-f611-4232-8192-ce81b6b57194, fetched 2026-09-30</t>
        </is>
      </c>
      <c r="N15" s="25" t="inlineStr">
        <is>
          <t>one zone per private-endpoint service</t>
        </is>
      </c>
      <c r="O15" t="inlineStr">
        <is>
          <t>Dev</t>
        </is>
      </c>
    </row>
    <row r="16">
      <c r="A16" t="n">
        <v>12</v>
      </c>
      <c r="B16" t="inlineStr">
        <is>
          <t>NAT gateway (Databricks egress)</t>
        </is>
      </c>
      <c r="C16" t="inlineStr">
        <is>
          <t>NAT Gateway</t>
        </is>
      </c>
      <c r="D16" t="inlineStr">
        <is>
          <t>Standard</t>
        </is>
      </c>
      <c r="E16" t="inlineStr">
        <is>
          <t>1 Hour</t>
        </is>
      </c>
      <c r="F16" s="35" t="n">
        <v>0.045</v>
      </c>
      <c r="G16" s="4" t="n">
        <v>1</v>
      </c>
      <c r="H16" s="13">
        <f>HoursPerMonth</f>
        <v/>
      </c>
      <c r="I16" s="14">
        <f>F16*G16*H16*FxRate</f>
        <v/>
      </c>
      <c r="J16" s="14">
        <f>I16*12/365</f>
        <v/>
      </c>
      <c r="K16" s="14">
        <f>I16*12</f>
        <v/>
      </c>
      <c r="L16" s="25" t="inlineStr">
        <is>
          <t>_bmad-output/specs/spec-corporate-portal-poc/stack.md VNet-injected with a NAT gateway</t>
        </is>
      </c>
      <c r="M16" s="25" t="inlineStr">
        <is>
          <t>Azure Retail Prices API, NAT Gateway / Standard Gateway, Global, USD per 1 Hour, meterId ae30040a-67f5-485b-b0f4-a6ef50504d9c, fetched 2026-09-30</t>
        </is>
      </c>
      <c r="N16" s="25" t="inlineStr"/>
      <c r="O16" t="inlineStr">
        <is>
          <t>Dev</t>
        </is>
      </c>
    </row>
    <row r="17">
      <c r="A17" t="n">
        <v>13</v>
      </c>
      <c r="B17" t="inlineStr">
        <is>
          <t>NAT gateway data processed</t>
        </is>
      </c>
      <c r="C17" t="inlineStr">
        <is>
          <t>NAT Gateway</t>
        </is>
      </c>
      <c r="D17" t="inlineStr">
        <is>
          <t>Standard data processed</t>
        </is>
      </c>
      <c r="E17" t="inlineStr">
        <is>
          <t>1 GB</t>
        </is>
      </c>
      <c r="F17" s="35" t="n">
        <v>0.045</v>
      </c>
      <c r="G17" s="4" t="n">
        <v>1</v>
      </c>
      <c r="H17" s="4" t="n">
        <v>20</v>
      </c>
      <c r="I17" s="14">
        <f>F17*G17*H17*FxRate</f>
        <v/>
      </c>
      <c r="J17" s="14">
        <f>I17*12/365</f>
        <v/>
      </c>
      <c r="K17" s="14">
        <f>I17*12</f>
        <v/>
      </c>
      <c r="L17" s="25" t="inlineStr">
        <is>
          <t>_bmad-output/specs/spec-corporate-portal-poc/stack.md VNet-injected with a NAT gateway</t>
        </is>
      </c>
      <c r="M17" s="25" t="inlineStr">
        <is>
          <t>Azure Retail Prices API, NAT Gateway / Standard Data Processed, Global, USD per 1 GB, meterId d32b6352-b66b-4c4c-8f21-60e94058e04d, fetched 2026-09-30</t>
        </is>
      </c>
      <c r="N17" s="25" t="inlineStr">
        <is>
          <t>assumption: 20 GB of Databricks egress a month; synthetic portfolio figure, owner request 2026-09-30</t>
        </is>
      </c>
      <c r="O17" t="inlineStr">
        <is>
          <t>Dev</t>
        </is>
      </c>
    </row>
    <row r="18">
      <c r="A18" t="n">
        <v>14</v>
      </c>
      <c r="B18" t="inlineStr">
        <is>
          <t>Kong ingress load balancer</t>
        </is>
      </c>
      <c r="C18" t="inlineStr">
        <is>
          <t>Load Balancer</t>
        </is>
      </c>
      <c r="D18" t="inlineStr">
        <is>
          <t>Standard</t>
        </is>
      </c>
      <c r="E18" t="inlineStr">
        <is>
          <t>1 Hour</t>
        </is>
      </c>
      <c r="F18" s="35" t="n">
        <v>0.025</v>
      </c>
      <c r="G18" s="4" t="n">
        <v>1</v>
      </c>
      <c r="H18" s="13">
        <f>HoursPerMonth</f>
        <v/>
      </c>
      <c r="I18" s="14">
        <f>F18*G18*H18*FxRate</f>
        <v/>
      </c>
      <c r="J18" s="14">
        <f>I18*12/365</f>
        <v/>
      </c>
      <c r="K18" s="14">
        <f>I18*12</f>
        <v/>
      </c>
      <c r="L18" s="25" t="inlineStr">
        <is>
          <t>_bmad-output/specs/spec-corporate-portal-poc/stack.md Kong OSS as the API gateway (ingress)</t>
        </is>
      </c>
      <c r="M18" s="25" t="inlineStr">
        <is>
          <t>Azure Retail Prices API, Load Balancer / Standard Included LB Rules and Outbound Rules, Global, USD per 1 Hour, meterId 27827eb0-7f60-4928-940b-f5fe15e7a4cb, fetched 2026-09-30</t>
        </is>
      </c>
      <c r="N18" s="25" t="inlineStr"/>
      <c r="O18" t="inlineStr">
        <is>
          <t>Dev</t>
        </is>
      </c>
    </row>
    <row r="19">
      <c r="A19" t="n">
        <v>15</v>
      </c>
      <c r="B19" t="inlineStr">
        <is>
          <t>Ingress public IPs</t>
        </is>
      </c>
      <c r="C19" t="inlineStr">
        <is>
          <t>Virtual Network</t>
        </is>
      </c>
      <c r="D19" t="inlineStr">
        <is>
          <t>Standard IPv4 static</t>
        </is>
      </c>
      <c r="E19" t="inlineStr">
        <is>
          <t>1 Hour</t>
        </is>
      </c>
      <c r="F19" s="35" t="n">
        <v>0.005</v>
      </c>
      <c r="G19" s="4" t="n">
        <v>1</v>
      </c>
      <c r="H19" s="13">
        <f>HoursPerMonth</f>
        <v/>
      </c>
      <c r="I19" s="14">
        <f>F19*G19*H19*FxRate</f>
        <v/>
      </c>
      <c r="J19" s="14">
        <f>I19*12/365</f>
        <v/>
      </c>
      <c r="K19" s="14">
        <f>I19*12</f>
        <v/>
      </c>
      <c r="L19" s="25" t="inlineStr">
        <is>
          <t>_bmad-output/specs/spec-corporate-portal-poc/stack.md Kong OSS as the API gateway (ingress)</t>
        </is>
      </c>
      <c r="M19" s="25" t="inlineStr">
        <is>
          <t>Azure Retail Prices API, IP Addresses / Standard IPv4 Static Public IP, westus3, USD per 1 Hour, meterId 9c150bf9-2bad-430e-a53c-c213804f49ef, fetched 2026-09-30</t>
        </is>
      </c>
      <c r="N19" s="25" t="inlineStr"/>
      <c r="O19" t="inlineStr">
        <is>
          <t>Dev</t>
        </is>
      </c>
    </row>
    <row r="20">
      <c r="F20" s="15" t="n"/>
      <c r="G20" s="15" t="n"/>
      <c r="H20" s="15" t="n"/>
      <c r="I20" s="14">
        <f>IF(F20="","",F20*G20*H20*FxRate)</f>
        <v/>
      </c>
      <c r="J20" s="14">
        <f>IF(I20="","",I20*12/365)</f>
        <v/>
      </c>
      <c r="K20" s="14">
        <f>IF(I20="","",I20*12)</f>
        <v/>
      </c>
      <c r="O20" t="inlineStr">
        <is>
          <t>Dev</t>
        </is>
      </c>
    </row>
    <row r="21">
      <c r="F21" s="15" t="n"/>
      <c r="G21" s="15" t="n"/>
      <c r="H21" s="15" t="n"/>
      <c r="I21" s="14">
        <f>IF(F21="","",F21*G21*H21*FxRate)</f>
        <v/>
      </c>
      <c r="J21" s="14">
        <f>IF(I21="","",I21*12/365)</f>
        <v/>
      </c>
      <c r="K21" s="14">
        <f>IF(I21="","",I21*12)</f>
        <v/>
      </c>
      <c r="O21" t="inlineStr">
        <is>
          <t>Dev</t>
        </is>
      </c>
    </row>
    <row r="22">
      <c r="F22" s="15" t="n"/>
      <c r="G22" s="15" t="n"/>
      <c r="H22" s="15" t="n"/>
      <c r="I22" s="14">
        <f>IF(F22="","",F22*G22*H22*FxRate)</f>
        <v/>
      </c>
      <c r="J22" s="14">
        <f>IF(I22="","",I22*12/365)</f>
        <v/>
      </c>
      <c r="K22" s="14">
        <f>IF(I22="","",I22*12)</f>
        <v/>
      </c>
      <c r="O22" t="inlineStr">
        <is>
          <t>Dev</t>
        </is>
      </c>
    </row>
    <row r="23">
      <c r="A23" s="16" t="inlineStr">
        <is>
          <t>Total</t>
        </is>
      </c>
      <c r="B23" s="16" t="n"/>
      <c r="C23" s="16" t="n"/>
      <c r="D23" s="16" t="n"/>
      <c r="E23" s="16" t="n"/>
      <c r="F23" s="16" t="n"/>
      <c r="G23" s="16" t="n"/>
      <c r="H23" s="16" t="n"/>
      <c r="I23" s="18">
        <f>SUM(I5:I22)</f>
        <v/>
      </c>
      <c r="J23" s="18">
        <f>SUM(J5:J22)</f>
        <v/>
      </c>
      <c r="K23" s="18">
        <f>SUM(K5:K22)</f>
        <v/>
      </c>
      <c r="L23" s="16" t="n"/>
      <c r="M23" s="16" t="n"/>
      <c r="N23" s="16" t="n"/>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22"/>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Test environment</t>
        </is>
      </c>
    </row>
    <row r="2">
      <c r="A2" t="inlineStr">
        <is>
          <t>Azure retail list prices (pay-as-you-go) in westus3, USD, fetched 2026-09-30.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nodes</t>
        </is>
      </c>
      <c r="C5" t="inlineStr">
        <is>
          <t>Virtual Machines</t>
        </is>
      </c>
      <c r="D5" t="inlineStr">
        <is>
          <t>Standard_D4s_v5</t>
        </is>
      </c>
      <c r="E5" t="inlineStr">
        <is>
          <t>1 Hour</t>
        </is>
      </c>
      <c r="F5" s="35" t="n">
        <v>0.192</v>
      </c>
      <c r="G5" s="4" t="n">
        <v>2</v>
      </c>
      <c r="H5" s="4" t="n">
        <v>260</v>
      </c>
      <c r="I5" s="14">
        <f>F5*G5*H5*FxRate</f>
        <v/>
      </c>
      <c r="J5" s="14">
        <f>I5*12/365</f>
        <v/>
      </c>
      <c r="K5" s="14">
        <f>I5*12</f>
        <v/>
      </c>
      <c r="L5" s="25" t="inlineStr">
        <is>
          <t>_bmad-output/specs/spec-corporate-portal-poc/stack.md AKS with Node Auto Provisioning</t>
        </is>
      </c>
      <c r="M5" s="25" t="inlineStr">
        <is>
          <t>Azure Retail Prices API, Virtual Machines Dsv5 Series / D4s v5, westus3, USD per 1 Hour, meterId a7d0753e-6fcd-5b61-8b6e-4727c10691a1, fetched 2026-09-30</t>
        </is>
      </c>
      <c r="N5" s="25" t="inlineStr">
        <is>
          <t>assumption: 2 regular nodes, weekdays 12 h a day (~260 h/month); stopped otherwise; synthetic portfolio figure, owner request 2026-09-30</t>
        </is>
      </c>
      <c r="O5" t="inlineStr">
        <is>
          <t>Test</t>
        </is>
      </c>
    </row>
    <row r="6">
      <c r="A6" t="n">
        <v>2</v>
      </c>
      <c r="B6" t="inlineStr">
        <is>
          <t>Azure SQL ledger (S1)</t>
        </is>
      </c>
      <c r="C6" t="inlineStr">
        <is>
          <t>SQL Database</t>
        </is>
      </c>
      <c r="D6" t="inlineStr">
        <is>
          <t>Standard S1 20 DTU</t>
        </is>
      </c>
      <c r="E6" t="inlineStr">
        <is>
          <t>1/Day</t>
        </is>
      </c>
      <c r="F6" s="35" t="n">
        <v>0.9677</v>
      </c>
      <c r="G6" s="4" t="n">
        <v>1</v>
      </c>
      <c r="H6" s="4" t="n">
        <v>30.4167</v>
      </c>
      <c r="I6" s="14">
        <f>F6*G6*H6*FxRate</f>
        <v/>
      </c>
      <c r="J6" s="14">
        <f>I6*12/365</f>
        <v/>
      </c>
      <c r="K6" s="14">
        <f>I6*12</f>
        <v/>
      </c>
      <c r="L6" s="25" t="inlineStr">
        <is>
          <t>_bmad-output/specs/spec-corporate-portal-poc/stack.md Operational ledger, including payment approval state and an outbox table</t>
        </is>
      </c>
      <c r="M6" s="25" t="inlineStr">
        <is>
          <t>Azure Retail Prices API, SQL Database Single Standard / S1 DTUs, westus3, USD per 1/Day, meterId 54c6bbf3-322b-406d-8411-101bc4b9443a, fetched 2026-09-30</t>
        </is>
      </c>
      <c r="N6" s="25" t="inlineStr">
        <is>
          <t>assumption: S1 for integration and regression runs; synthetic portfolio figure, owner request 2026-09-30</t>
        </is>
      </c>
      <c r="O6" t="inlineStr">
        <is>
          <t>Test</t>
        </is>
      </c>
    </row>
    <row r="7">
      <c r="A7" t="n">
        <v>3</v>
      </c>
      <c r="B7" t="inlineStr">
        <is>
          <t>Event Hubs namespace</t>
        </is>
      </c>
      <c r="C7" t="inlineStr">
        <is>
          <t>Event Hubs</t>
        </is>
      </c>
      <c r="D7" t="inlineStr">
        <is>
          <t>Standard, 1 TU</t>
        </is>
      </c>
      <c r="E7" t="inlineStr">
        <is>
          <t>1 Hour</t>
        </is>
      </c>
      <c r="F7" s="35" t="n">
        <v>0.03</v>
      </c>
      <c r="G7" s="4" t="n">
        <v>1</v>
      </c>
      <c r="H7" s="13">
        <f>HoursPerMonth</f>
        <v/>
      </c>
      <c r="I7" s="14">
        <f>F7*G7*H7*FxRate</f>
        <v/>
      </c>
      <c r="J7" s="14">
        <f>I7*12/365</f>
        <v/>
      </c>
      <c r="K7" s="14">
        <f>I7*12</f>
        <v/>
      </c>
      <c r="L7" s="25" t="inlineStr">
        <is>
          <t>_bmad-output/specs/spec-corporate-portal-poc/stack.md Event Hubs Standard (1 TU, 7-day retention)</t>
        </is>
      </c>
      <c r="M7" s="25" t="inlineStr">
        <is>
          <t>Azure Retail Prices API, Event Hubs / Standard Throughput Unit, westus3, USD per 1 Hour, meterId 62d94a65-9300-48a6-8c15-0e70fc41eb44, fetched 2026-09-30</t>
        </is>
      </c>
      <c r="N7" s="25" t="inlineStr"/>
      <c r="O7" t="inlineStr">
        <is>
          <t>Test</t>
        </is>
      </c>
    </row>
    <row r="8">
      <c r="A8" t="n">
        <v>4</v>
      </c>
      <c r="B8" t="inlineStr">
        <is>
          <t>Databricks jobs compute (DBU)</t>
        </is>
      </c>
      <c r="C8" t="inlineStr">
        <is>
          <t>Azure Databricks</t>
        </is>
      </c>
      <c r="D8" t="inlineStr">
        <is>
          <t>Premium Jobs Compute</t>
        </is>
      </c>
      <c r="E8" t="inlineStr">
        <is>
          <t>1 Hour</t>
        </is>
      </c>
      <c r="F8" s="35" t="n">
        <v>0.3</v>
      </c>
      <c r="G8" s="4" t="n">
        <v>1</v>
      </c>
      <c r="H8" s="4" t="n">
        <v>60</v>
      </c>
      <c r="I8" s="14">
        <f>F8*G8*H8*FxRate</f>
        <v/>
      </c>
      <c r="J8" s="14">
        <f>I8*12/365</f>
        <v/>
      </c>
      <c r="K8" s="14">
        <f>I8*12</f>
        <v/>
      </c>
      <c r="L8" s="25" t="inlineStr">
        <is>
          <t>_bmad-output/specs/spec-corporate-portal-poc/stack.md Databricks Premium:</t>
        </is>
      </c>
      <c r="M8" s="25" t="inlineStr">
        <is>
          <t>Azure Retail Prices API, Azure Databricks / Premium Jobs Compute DBU, westus3, USD per 1 Hour, meterId 8ee07b23-82ae-430e-a417-a050463ff4ee, fetched 2026-09-30</t>
        </is>
      </c>
      <c r="N8" s="25" t="inlineStr">
        <is>
          <t>assumption: single node at 1 DBU/h, ~60 h a month of test runs; synthetic portfolio figure, owner request 2026-09-30</t>
        </is>
      </c>
      <c r="O8" t="inlineStr">
        <is>
          <t>Test</t>
        </is>
      </c>
    </row>
    <row r="9">
      <c r="A9" t="n">
        <v>5</v>
      </c>
      <c r="B9" t="inlineStr">
        <is>
          <t>Databricks cluster VM</t>
        </is>
      </c>
      <c r="C9" t="inlineStr">
        <is>
          <t>Virtual Machines</t>
        </is>
      </c>
      <c r="D9" t="inlineStr">
        <is>
          <t>Standard_D4s_v5</t>
        </is>
      </c>
      <c r="E9" t="inlineStr">
        <is>
          <t>1 Hour</t>
        </is>
      </c>
      <c r="F9" s="35" t="n">
        <v>0.192</v>
      </c>
      <c r="G9" s="4" t="n">
        <v>1</v>
      </c>
      <c r="H9" s="4" t="n">
        <v>60</v>
      </c>
      <c r="I9" s="14">
        <f>F9*G9*H9*FxRate</f>
        <v/>
      </c>
      <c r="J9" s="14">
        <f>I9*12/365</f>
        <v/>
      </c>
      <c r="K9" s="14">
        <f>I9*12</f>
        <v/>
      </c>
      <c r="L9" s="25" t="inlineStr">
        <is>
          <t>_bmad-output/specs/spec-corporate-portal-poc/stack.md Databricks Premium:</t>
        </is>
      </c>
      <c r="M9" s="25" t="inlineStr">
        <is>
          <t>Azure Retail Prices API, Virtual Machines Dsv5 Series / D4s v5, westus3, USD per 1 Hour, meterId a7d0753e-6fcd-5b61-8b6e-4727c10691a1, fetched 2026-09-30</t>
        </is>
      </c>
      <c r="N9" s="25" t="inlineStr">
        <is>
          <t>same ~60 h a month as the DBUs</t>
        </is>
      </c>
      <c r="O9" t="inlineStr">
        <is>
          <t>Test</t>
        </is>
      </c>
    </row>
    <row r="10">
      <c r="A10" t="n">
        <v>6</v>
      </c>
      <c r="B10" t="inlineStr">
        <is>
          <t>Data lake (ADLS Gen2)</t>
        </is>
      </c>
      <c r="C10" t="inlineStr">
        <is>
          <t>Storage</t>
        </is>
      </c>
      <c r="D10" t="inlineStr">
        <is>
          <t>Hot LRS, hierarchical namespace</t>
        </is>
      </c>
      <c r="E10" t="inlineStr">
        <is>
          <t>1 GB/Month</t>
        </is>
      </c>
      <c r="F10" s="35" t="n">
        <v>0.0184</v>
      </c>
      <c r="G10" s="4" t="n">
        <v>200</v>
      </c>
      <c r="H10" s="4" t="n">
        <v>1</v>
      </c>
      <c r="I10" s="14">
        <f>F10*G10*H10*FxRate</f>
        <v/>
      </c>
      <c r="J10" s="14">
        <f>I10*12/365</f>
        <v/>
      </c>
      <c r="K10" s="14">
        <f>I10*12</f>
        <v/>
      </c>
      <c r="L10" s="25" t="inlineStr">
        <is>
          <t>_bmad-output/specs/spec-corporate-portal-poc/stack.md Medallion: ADLS Gen2</t>
        </is>
      </c>
      <c r="M10" s="25" t="inlineStr">
        <is>
          <t>Azure Retail Prices API, Azure Data Lake Storage Gen2 Hierarchical Namespace / Hot LRS Data Stored, westus3, USD per 1 GB/Month, meterId 08da9c52-d07e-566a-8952-89c0e93464b6, fetched 2026-09-30</t>
        </is>
      </c>
      <c r="N10" s="25" t="inlineStr">
        <is>
          <t>assumption: 200 GB of synthetic test data; synthetic portfolio figure, owner request 2026-09-30</t>
        </is>
      </c>
      <c r="O10" t="inlineStr">
        <is>
          <t>Test</t>
        </is>
      </c>
    </row>
    <row r="11">
      <c r="A11" t="n">
        <v>7</v>
      </c>
      <c r="B11" t="inlineStr">
        <is>
          <t>Key Vault operations</t>
        </is>
      </c>
      <c r="C11" t="inlineStr">
        <is>
          <t>Key Vault</t>
        </is>
      </c>
      <c r="D11" t="inlineStr">
        <is>
          <t>Standard</t>
        </is>
      </c>
      <c r="E11" t="inlineStr">
        <is>
          <t>10K</t>
        </is>
      </c>
      <c r="F11" s="35" t="n">
        <v>0.03</v>
      </c>
      <c r="G11" s="4" t="n">
        <v>20</v>
      </c>
      <c r="H11" s="4" t="n">
        <v>1</v>
      </c>
      <c r="I11" s="14">
        <f>F11*G11*H11*FxRate</f>
        <v/>
      </c>
      <c r="J11" s="14">
        <f>I11*12/365</f>
        <v/>
      </c>
      <c r="K11" s="14">
        <f>I11*12</f>
        <v/>
      </c>
      <c r="L11" s="25" t="inlineStr">
        <is>
          <t>_bmad-output/specs/spec-corporate-portal-poc/stack.md HashiCorp Vault for app secrets</t>
        </is>
      </c>
      <c r="M11" s="25" t="inlineStr">
        <is>
          <t>Azure Retail Prices API, Key Vault / Operations (Standard), westus3, USD per 10K, meterId 0f824807-2376-435c-95c9-f992b67a07b0, fetched 2026-09-30</t>
        </is>
      </c>
      <c r="N11" s="25" t="inlineStr">
        <is>
          <t>assumption: 200K operations a month; synthetic portfolio figure, owner request 2026-09-30</t>
        </is>
      </c>
      <c r="O11" t="inlineStr">
        <is>
          <t>Test</t>
        </is>
      </c>
    </row>
    <row r="12">
      <c r="A12" t="n">
        <v>8</v>
      </c>
      <c r="B12" t="inlineStr">
        <is>
          <t>Private endpoints</t>
        </is>
      </c>
      <c r="C12" t="inlineStr">
        <is>
          <t>Virtual Network</t>
        </is>
      </c>
      <c r="D12" t="inlineStr">
        <is>
          <t>Standard Private Endpoint</t>
        </is>
      </c>
      <c r="E12" t="inlineStr">
        <is>
          <t>1 Hour</t>
        </is>
      </c>
      <c r="F12" s="35" t="n">
        <v>0.01</v>
      </c>
      <c r="G12" s="4" t="n">
        <v>4</v>
      </c>
      <c r="H12" s="13">
        <f>HoursPerMonth</f>
        <v/>
      </c>
      <c r="I12" s="14">
        <f>F12*G12*H12*FxRate</f>
        <v/>
      </c>
      <c r="J12" s="14">
        <f>I12*12/365</f>
        <v/>
      </c>
      <c r="K12" s="14">
        <f>I12*12</f>
        <v/>
      </c>
      <c r="L12" s="25" t="inlineStr">
        <is>
          <t>_bmad-output/specs/spec-corporate-portal-poc/stack.md Private endpoints: ADLS, SQL, Key Vault and Event Hubs</t>
        </is>
      </c>
      <c r="M12" s="25" t="inlineStr">
        <is>
          <t>Azure Retail Prices API, Virtual Network Private Link / Standard Private Endpoint, Global, USD per 1 Hour, meterId e6ab7238-e433-4fe0-a2b2-2b2564df2cdb, fetched 2026-09-30</t>
        </is>
      </c>
      <c r="N12" s="25" t="inlineStr">
        <is>
          <t>4 endpoints (lake, SQL, Key Vault, Event Hubs per region)</t>
        </is>
      </c>
      <c r="O12" t="inlineStr">
        <is>
          <t>Test</t>
        </is>
      </c>
    </row>
    <row r="13">
      <c r="A13" t="n">
        <v>9</v>
      </c>
      <c r="B13" t="inlineStr">
        <is>
          <t>Private endpoint data processed</t>
        </is>
      </c>
      <c r="C13" t="inlineStr">
        <is>
          <t>Virtual Network</t>
        </is>
      </c>
      <c r="D13" t="inlineStr">
        <is>
          <t>Private Link data processed</t>
        </is>
      </c>
      <c r="E13" t="inlineStr">
        <is>
          <t>1 GB</t>
        </is>
      </c>
      <c r="F13" s="35" t="n">
        <v>0.01</v>
      </c>
      <c r="G13" s="4" t="n">
        <v>1</v>
      </c>
      <c r="H13" s="4" t="n">
        <v>40</v>
      </c>
      <c r="I13" s="14">
        <f>F13*G13*H13*FxRate</f>
        <v/>
      </c>
      <c r="J13" s="14">
        <f>I13*12/365</f>
        <v/>
      </c>
      <c r="K13" s="14">
        <f>I13*12</f>
        <v/>
      </c>
      <c r="L13" s="25" t="inlineStr">
        <is>
          <t>_bmad-output/specs/spec-corporate-portal-poc/stack.md Private endpoints: ADLS, SQL, Key Vault and Event Hubs</t>
        </is>
      </c>
      <c r="M13" s="25" t="inlineStr">
        <is>
          <t>Azure Retail Prices API, Virtual Network Private Link / Standard Data Processed - Ingress, Global, USD per 1 GB, meterId 10caa28b-6479-4852-9eb7-610870cb6417, fetched 2026-09-30</t>
        </is>
      </c>
      <c r="N13" s="25" t="inlineStr">
        <is>
          <t>assumption: 40 GB a month through the private endpoints; synthetic portfolio figure, owner request 2026-09-30</t>
        </is>
      </c>
      <c r="O13" t="inlineStr">
        <is>
          <t>Test</t>
        </is>
      </c>
    </row>
    <row r="14">
      <c r="A14" t="n">
        <v>10</v>
      </c>
      <c r="B14" t="inlineStr">
        <is>
          <t>Private DNS zones</t>
        </is>
      </c>
      <c r="C14" t="inlineStr">
        <is>
          <t>Azure DNS</t>
        </is>
      </c>
      <c r="D14" t="inlineStr">
        <is>
          <t>Private Zone</t>
        </is>
      </c>
      <c r="E14" t="inlineStr">
        <is>
          <t>1/Month</t>
        </is>
      </c>
      <c r="F14" s="35" t="n">
        <v>0.5</v>
      </c>
      <c r="G14" s="4" t="n">
        <v>4</v>
      </c>
      <c r="H14" s="4" t="n">
        <v>1</v>
      </c>
      <c r="I14" s="14">
        <f>F14*G14*H14*FxRate</f>
        <v/>
      </c>
      <c r="J14" s="14">
        <f>I14*12/365</f>
        <v/>
      </c>
      <c r="K14" s="14">
        <f>I14*12</f>
        <v/>
      </c>
      <c r="L14" s="25" t="inlineStr">
        <is>
          <t>_bmad-output/specs/spec-corporate-portal-poc/stack.md Private endpoints: ADLS, SQL, Key Vault and Event Hubs</t>
        </is>
      </c>
      <c r="M14" s="25" t="inlineStr">
        <is>
          <t>Azure Retail Prices API, Azure DNS / Private Zone, Zone 1, USD per 1, meterId 0b608a26-f611-4232-8192-ce81b6b57194, fetched 2026-09-30</t>
        </is>
      </c>
      <c r="N14" s="25" t="inlineStr">
        <is>
          <t>one zone per private-endpoint service</t>
        </is>
      </c>
      <c r="O14" t="inlineStr">
        <is>
          <t>Test</t>
        </is>
      </c>
    </row>
    <row r="15">
      <c r="A15" t="n">
        <v>11</v>
      </c>
      <c r="B15" t="inlineStr">
        <is>
          <t>NAT gateway (Databricks egress)</t>
        </is>
      </c>
      <c r="C15" t="inlineStr">
        <is>
          <t>NAT Gateway</t>
        </is>
      </c>
      <c r="D15" t="inlineStr">
        <is>
          <t>Standard</t>
        </is>
      </c>
      <c r="E15" t="inlineStr">
        <is>
          <t>1 Hour</t>
        </is>
      </c>
      <c r="F15" s="35" t="n">
        <v>0.045</v>
      </c>
      <c r="G15" s="4" t="n">
        <v>1</v>
      </c>
      <c r="H15" s="13">
        <f>HoursPerMonth</f>
        <v/>
      </c>
      <c r="I15" s="14">
        <f>F15*G15*H15*FxRate</f>
        <v/>
      </c>
      <c r="J15" s="14">
        <f>I15*12/365</f>
        <v/>
      </c>
      <c r="K15" s="14">
        <f>I15*12</f>
        <v/>
      </c>
      <c r="L15" s="25" t="inlineStr">
        <is>
          <t>_bmad-output/specs/spec-corporate-portal-poc/stack.md VNet-injected with a NAT gateway</t>
        </is>
      </c>
      <c r="M15" s="25" t="inlineStr">
        <is>
          <t>Azure Retail Prices API, NAT Gateway / Standard Gateway, Global, USD per 1 Hour, meterId ae30040a-67f5-485b-b0f4-a6ef50504d9c, fetched 2026-09-30</t>
        </is>
      </c>
      <c r="N15" s="25" t="inlineStr"/>
      <c r="O15" t="inlineStr">
        <is>
          <t>Test</t>
        </is>
      </c>
    </row>
    <row r="16">
      <c r="A16" t="n">
        <v>12</v>
      </c>
      <c r="B16" t="inlineStr">
        <is>
          <t>NAT gateway data processed</t>
        </is>
      </c>
      <c r="C16" t="inlineStr">
        <is>
          <t>NAT Gateway</t>
        </is>
      </c>
      <c r="D16" t="inlineStr">
        <is>
          <t>Standard data processed</t>
        </is>
      </c>
      <c r="E16" t="inlineStr">
        <is>
          <t>1 GB</t>
        </is>
      </c>
      <c r="F16" s="35" t="n">
        <v>0.045</v>
      </c>
      <c r="G16" s="4" t="n">
        <v>1</v>
      </c>
      <c r="H16" s="4" t="n">
        <v>30</v>
      </c>
      <c r="I16" s="14">
        <f>F16*G16*H16*FxRate</f>
        <v/>
      </c>
      <c r="J16" s="14">
        <f>I16*12/365</f>
        <v/>
      </c>
      <c r="K16" s="14">
        <f>I16*12</f>
        <v/>
      </c>
      <c r="L16" s="25" t="inlineStr">
        <is>
          <t>_bmad-output/specs/spec-corporate-portal-poc/stack.md VNet-injected with a NAT gateway</t>
        </is>
      </c>
      <c r="M16" s="25" t="inlineStr">
        <is>
          <t>Azure Retail Prices API, NAT Gateway / Standard Data Processed, Global, USD per 1 GB, meterId d32b6352-b66b-4c4c-8f21-60e94058e04d, fetched 2026-09-30</t>
        </is>
      </c>
      <c r="N16" s="25" t="inlineStr">
        <is>
          <t>assumption: 30 GB of Databricks egress a month; synthetic portfolio figure, owner request 2026-09-30</t>
        </is>
      </c>
      <c r="O16" t="inlineStr">
        <is>
          <t>Test</t>
        </is>
      </c>
    </row>
    <row r="17">
      <c r="A17" t="n">
        <v>13</v>
      </c>
      <c r="B17" t="inlineStr">
        <is>
          <t>Kong ingress load balancer</t>
        </is>
      </c>
      <c r="C17" t="inlineStr">
        <is>
          <t>Load Balancer</t>
        </is>
      </c>
      <c r="D17" t="inlineStr">
        <is>
          <t>Standard</t>
        </is>
      </c>
      <c r="E17" t="inlineStr">
        <is>
          <t>1 Hour</t>
        </is>
      </c>
      <c r="F17" s="35" t="n">
        <v>0.025</v>
      </c>
      <c r="G17" s="4" t="n">
        <v>1</v>
      </c>
      <c r="H17" s="13">
        <f>HoursPerMonth</f>
        <v/>
      </c>
      <c r="I17" s="14">
        <f>F17*G17*H17*FxRate</f>
        <v/>
      </c>
      <c r="J17" s="14">
        <f>I17*12/365</f>
        <v/>
      </c>
      <c r="K17" s="14">
        <f>I17*12</f>
        <v/>
      </c>
      <c r="L17" s="25" t="inlineStr">
        <is>
          <t>_bmad-output/specs/spec-corporate-portal-poc/stack.md Kong OSS as the API gateway (ingress)</t>
        </is>
      </c>
      <c r="M17" s="25" t="inlineStr">
        <is>
          <t>Azure Retail Prices API, Load Balancer / Standard Included LB Rules and Outbound Rules, Global, USD per 1 Hour, meterId 27827eb0-7f60-4928-940b-f5fe15e7a4cb, fetched 2026-09-30</t>
        </is>
      </c>
      <c r="N17" s="25" t="inlineStr"/>
      <c r="O17" t="inlineStr">
        <is>
          <t>Test</t>
        </is>
      </c>
    </row>
    <row r="18">
      <c r="A18" t="n">
        <v>14</v>
      </c>
      <c r="B18" t="inlineStr">
        <is>
          <t>Ingress public IPs</t>
        </is>
      </c>
      <c r="C18" t="inlineStr">
        <is>
          <t>Virtual Network</t>
        </is>
      </c>
      <c r="D18" t="inlineStr">
        <is>
          <t>Standard IPv4 static</t>
        </is>
      </c>
      <c r="E18" t="inlineStr">
        <is>
          <t>1 Hour</t>
        </is>
      </c>
      <c r="F18" s="35" t="n">
        <v>0.005</v>
      </c>
      <c r="G18" s="4" t="n">
        <v>1</v>
      </c>
      <c r="H18" s="13">
        <f>HoursPerMonth</f>
        <v/>
      </c>
      <c r="I18" s="14">
        <f>F18*G18*H18*FxRate</f>
        <v/>
      </c>
      <c r="J18" s="14">
        <f>I18*12/365</f>
        <v/>
      </c>
      <c r="K18" s="14">
        <f>I18*12</f>
        <v/>
      </c>
      <c r="L18" s="25" t="inlineStr">
        <is>
          <t>_bmad-output/specs/spec-corporate-portal-poc/stack.md Kong OSS as the API gateway (ingress)</t>
        </is>
      </c>
      <c r="M18" s="25" t="inlineStr">
        <is>
          <t>Azure Retail Prices API, IP Addresses / Standard IPv4 Static Public IP, westus3, USD per 1 Hour, meterId 9c150bf9-2bad-430e-a53c-c213804f49ef, fetched 2026-09-30</t>
        </is>
      </c>
      <c r="N18" s="25" t="inlineStr"/>
      <c r="O18" t="inlineStr">
        <is>
          <t>Test</t>
        </is>
      </c>
    </row>
    <row r="19">
      <c r="F19" s="15" t="n"/>
      <c r="G19" s="15" t="n"/>
      <c r="H19" s="15" t="n"/>
      <c r="I19" s="14">
        <f>IF(F19="","",F19*G19*H19*FxRate)</f>
        <v/>
      </c>
      <c r="J19" s="14">
        <f>IF(I19="","",I19*12/365)</f>
        <v/>
      </c>
      <c r="K19" s="14">
        <f>IF(I19="","",I19*12)</f>
        <v/>
      </c>
      <c r="O19" t="inlineStr">
        <is>
          <t>Test</t>
        </is>
      </c>
    </row>
    <row r="20">
      <c r="F20" s="15" t="n"/>
      <c r="G20" s="15" t="n"/>
      <c r="H20" s="15" t="n"/>
      <c r="I20" s="14">
        <f>IF(F20="","",F20*G20*H20*FxRate)</f>
        <v/>
      </c>
      <c r="J20" s="14">
        <f>IF(I20="","",I20*12/365)</f>
        <v/>
      </c>
      <c r="K20" s="14">
        <f>IF(I20="","",I20*12)</f>
        <v/>
      </c>
      <c r="O20" t="inlineStr">
        <is>
          <t>Test</t>
        </is>
      </c>
    </row>
    <row r="21">
      <c r="F21" s="15" t="n"/>
      <c r="G21" s="15" t="n"/>
      <c r="H21" s="15" t="n"/>
      <c r="I21" s="14">
        <f>IF(F21="","",F21*G21*H21*FxRate)</f>
        <v/>
      </c>
      <c r="J21" s="14">
        <f>IF(I21="","",I21*12/365)</f>
        <v/>
      </c>
      <c r="K21" s="14">
        <f>IF(I21="","",I21*12)</f>
        <v/>
      </c>
      <c r="O21" t="inlineStr">
        <is>
          <t>Test</t>
        </is>
      </c>
    </row>
    <row r="22">
      <c r="A22" s="16" t="inlineStr">
        <is>
          <t>Total</t>
        </is>
      </c>
      <c r="B22" s="16" t="n"/>
      <c r="C22" s="16" t="n"/>
      <c r="D22" s="16" t="n"/>
      <c r="E22" s="16" t="n"/>
      <c r="F22" s="16" t="n"/>
      <c r="G22" s="16" t="n"/>
      <c r="H22" s="16" t="n"/>
      <c r="I22" s="18">
        <f>SUM(I5:I21)</f>
        <v/>
      </c>
      <c r="J22" s="18">
        <f>SUM(J5:J21)</f>
        <v/>
      </c>
      <c r="K22" s="18">
        <f>SUM(K5:K21)</f>
        <v/>
      </c>
      <c r="L22" s="16" t="n"/>
      <c r="M22" s="16" t="n"/>
      <c r="N22" s="16" t="n"/>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26"/>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UAT environment</t>
        </is>
      </c>
    </row>
    <row r="2">
      <c r="A2" t="inlineStr">
        <is>
          <t>Azure retail list prices (pay-as-you-go) in westus3, USD, fetched 2026-09-30.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uptime SLA</t>
        </is>
      </c>
      <c r="C5" t="inlineStr">
        <is>
          <t>Azure Kubernetes Service</t>
        </is>
      </c>
      <c r="D5" t="inlineStr">
        <is>
          <t>Standard tier</t>
        </is>
      </c>
      <c r="E5" t="inlineStr">
        <is>
          <t>1 Hour</t>
        </is>
      </c>
      <c r="F5" s="35" t="n">
        <v>0.1</v>
      </c>
      <c r="G5" s="4" t="n">
        <v>1</v>
      </c>
      <c r="H5" s="13">
        <f>HoursPerMonth</f>
        <v/>
      </c>
      <c r="I5" s="14">
        <f>F5*G5*H5*FxRate</f>
        <v/>
      </c>
      <c r="J5" s="14">
        <f>I5*12/365</f>
        <v/>
      </c>
      <c r="K5" s="14">
        <f>I5*12</f>
        <v/>
      </c>
      <c r="L5" s="25" t="inlineStr">
        <is>
          <t>_bmad-output/specs/spec-corporate-portal-poc/stack.md AKS with Node Auto Provisioning</t>
        </is>
      </c>
      <c r="M5" s="25" t="inlineStr">
        <is>
          <t>Azure Retail Prices API, Azure Kubernetes Service / Standard Uptime SLA, westus3, USD per 1 Hour, meterId 251a08e1-40d6-48e6-8368-4c3e5ee3bbff, fetched 2026-09-30</t>
        </is>
      </c>
      <c r="N5" s="25" t="inlineStr">
        <is>
          <t>assumption: Standard tier so UAT matches Prod's control plane; synthetic portfolio figure, owner request 2026-09-30</t>
        </is>
      </c>
      <c r="O5" t="inlineStr">
        <is>
          <t>UAT</t>
        </is>
      </c>
    </row>
    <row r="6">
      <c r="A6" t="n">
        <v>2</v>
      </c>
      <c r="B6" t="inlineStr">
        <is>
          <t>AKS nodes</t>
        </is>
      </c>
      <c r="C6" t="inlineStr">
        <is>
          <t>Virtual Machines</t>
        </is>
      </c>
      <c r="D6" t="inlineStr">
        <is>
          <t>Standard_D4s_v5</t>
        </is>
      </c>
      <c r="E6" t="inlineStr">
        <is>
          <t>1 Hour</t>
        </is>
      </c>
      <c r="F6" s="35" t="n">
        <v>0.192</v>
      </c>
      <c r="G6" s="4" t="n">
        <v>3</v>
      </c>
      <c r="H6" s="13">
        <f>HoursPerMonth</f>
        <v/>
      </c>
      <c r="I6" s="14">
        <f>F6*G6*H6*FxRate</f>
        <v/>
      </c>
      <c r="J6" s="14">
        <f>I6*12/365</f>
        <v/>
      </c>
      <c r="K6" s="14">
        <f>I6*12</f>
        <v/>
      </c>
      <c r="L6" s="25" t="inlineStr">
        <is>
          <t>_bmad-output/specs/spec-corporate-portal-poc/stack.md AKS with Node Auto Provisioning</t>
        </is>
      </c>
      <c r="M6" s="25" t="inlineStr">
        <is>
          <t>Azure Retail Prices API, Virtual Machines Dsv5 Series / D4s v5, westus3, USD per 1 Hour, meterId a7d0753e-6fcd-5b61-8b6e-4727c10691a1, fetched 2026-09-30</t>
        </is>
      </c>
      <c r="N6" s="25" t="inlineStr">
        <is>
          <t>assumption: prod-like but smaller: 3 always-on nodes, one region; synthetic portfolio figure, owner request 2026-09-30</t>
        </is>
      </c>
      <c r="O6" t="inlineStr">
        <is>
          <t>UAT</t>
        </is>
      </c>
    </row>
    <row r="7">
      <c r="A7" t="n">
        <v>3</v>
      </c>
      <c r="B7" t="inlineStr">
        <is>
          <t>Azure SQL ledger (GP 2 vCore)</t>
        </is>
      </c>
      <c r="C7" t="inlineStr">
        <is>
          <t>SQL Database</t>
        </is>
      </c>
      <c r="D7" t="inlineStr">
        <is>
          <t>General Purpose Gen5 2 vCore</t>
        </is>
      </c>
      <c r="E7" t="inlineStr">
        <is>
          <t>1 Hour</t>
        </is>
      </c>
      <c r="F7" s="35" t="n">
        <v>0.304434</v>
      </c>
      <c r="G7" s="4" t="n">
        <v>1</v>
      </c>
      <c r="H7" s="13">
        <f>HoursPerMonth</f>
        <v/>
      </c>
      <c r="I7" s="14">
        <f>F7*G7*H7*FxRate</f>
        <v/>
      </c>
      <c r="J7" s="14">
        <f>I7*12/365</f>
        <v/>
      </c>
      <c r="K7" s="14">
        <f>I7*12</f>
        <v/>
      </c>
      <c r="L7" s="25" t="inlineStr">
        <is>
          <t>_bmad-output/specs/spec-corporate-portal-poc/stack.md Operational ledger, including payment approval state and an outbox table</t>
        </is>
      </c>
      <c r="M7" s="25" t="inlineStr">
        <is>
          <t>Azure Retail Prices API, SQL Database Single/Elastic Pool General Purpose - Compute Gen5 / vCore (2 vCore), westus3, USD per 1 Hour, meterId ed73d792-d844-5a0d-a685-a23c087bd0bc, fetched 2026-09-30</t>
        </is>
      </c>
      <c r="N7" s="25" t="inlineStr">
        <is>
          <t>assumption: General Purpose 2 vCore, prod tier at half the size; synthetic portfolio figure, owner request 2026-09-30</t>
        </is>
      </c>
      <c r="O7" t="inlineStr">
        <is>
          <t>UAT</t>
        </is>
      </c>
    </row>
    <row r="8">
      <c r="A8" t="n">
        <v>4</v>
      </c>
      <c r="B8" t="inlineStr">
        <is>
          <t>Azure SQL storage</t>
        </is>
      </c>
      <c r="C8" t="inlineStr">
        <is>
          <t>SQL Database</t>
        </is>
      </c>
      <c r="D8" t="inlineStr">
        <is>
          <t>General Purpose data stored</t>
        </is>
      </c>
      <c r="E8" t="inlineStr">
        <is>
          <t>1 GB/Month</t>
        </is>
      </c>
      <c r="F8" s="35" t="n">
        <v>0.115</v>
      </c>
      <c r="G8" s="4" t="n">
        <v>100</v>
      </c>
      <c r="H8" s="4" t="n">
        <v>1</v>
      </c>
      <c r="I8" s="14">
        <f>F8*G8*H8*FxRate</f>
        <v/>
      </c>
      <c r="J8" s="14">
        <f>I8*12/365</f>
        <v/>
      </c>
      <c r="K8" s="14">
        <f>I8*12</f>
        <v/>
      </c>
      <c r="L8" s="25" t="inlineStr">
        <is>
          <t>_bmad-output/specs/spec-corporate-portal-poc/stack.md Operational ledger, including payment approval state and an outbox table</t>
        </is>
      </c>
      <c r="M8" s="25" t="inlineStr">
        <is>
          <t>Azure Retail Prices API, SQL Database Single/Elastic Pool General Purpose - Storage / General Purpose Data Stored, westus3, USD per 1 GB/Month, meterId d59e97de-70e6-5505-8346-fdcbca6938b2, fetched 2026-09-30</t>
        </is>
      </c>
      <c r="N8" s="25" t="inlineStr">
        <is>
          <t>assumption: 100 GB; synthetic portfolio figure, owner request 2026-09-30</t>
        </is>
      </c>
      <c r="O8" t="inlineStr">
        <is>
          <t>UAT</t>
        </is>
      </c>
    </row>
    <row r="9">
      <c r="A9" t="n">
        <v>5</v>
      </c>
      <c r="B9" t="inlineStr">
        <is>
          <t>Event Hubs namespace</t>
        </is>
      </c>
      <c r="C9" t="inlineStr">
        <is>
          <t>Event Hubs</t>
        </is>
      </c>
      <c r="D9" t="inlineStr">
        <is>
          <t>Standard, 1 TU</t>
        </is>
      </c>
      <c r="E9" t="inlineStr">
        <is>
          <t>1 Hour</t>
        </is>
      </c>
      <c r="F9" s="35" t="n">
        <v>0.03</v>
      </c>
      <c r="G9" s="4" t="n">
        <v>1</v>
      </c>
      <c r="H9" s="13">
        <f>HoursPerMonth</f>
        <v/>
      </c>
      <c r="I9" s="14">
        <f>F9*G9*H9*FxRate</f>
        <v/>
      </c>
      <c r="J9" s="14">
        <f>I9*12/365</f>
        <v/>
      </c>
      <c r="K9" s="14">
        <f>I9*12</f>
        <v/>
      </c>
      <c r="L9" s="25" t="inlineStr">
        <is>
          <t>_bmad-output/specs/spec-corporate-portal-poc/stack.md Event Hubs Standard (1 TU, 7-day retention)</t>
        </is>
      </c>
      <c r="M9" s="25" t="inlineStr">
        <is>
          <t>Azure Retail Prices API, Event Hubs / Standard Throughput Unit, westus3, USD per 1 Hour, meterId 62d94a65-9300-48a6-8c15-0e70fc41eb44, fetched 2026-09-30</t>
        </is>
      </c>
      <c r="N9" s="25" t="inlineStr"/>
      <c r="O9" t="inlineStr">
        <is>
          <t>UAT</t>
        </is>
      </c>
    </row>
    <row r="10">
      <c r="A10" t="n">
        <v>6</v>
      </c>
      <c r="B10" t="inlineStr">
        <is>
          <t>Databricks jobs compute (DBU)</t>
        </is>
      </c>
      <c r="C10" t="inlineStr">
        <is>
          <t>Azure Databricks</t>
        </is>
      </c>
      <c r="D10" t="inlineStr">
        <is>
          <t>Premium Jobs Compute</t>
        </is>
      </c>
      <c r="E10" t="inlineStr">
        <is>
          <t>1 Hour</t>
        </is>
      </c>
      <c r="F10" s="35" t="n">
        <v>0.3</v>
      </c>
      <c r="G10" s="4" t="n">
        <v>1</v>
      </c>
      <c r="H10" s="4" t="n">
        <v>120</v>
      </c>
      <c r="I10" s="14">
        <f>F10*G10*H10*FxRate</f>
        <v/>
      </c>
      <c r="J10" s="14">
        <f>I10*12/365</f>
        <v/>
      </c>
      <c r="K10" s="14">
        <f>I10*12</f>
        <v/>
      </c>
      <c r="L10" s="25" t="inlineStr">
        <is>
          <t>_bmad-output/specs/spec-corporate-portal-poc/stack.md Databricks Premium:</t>
        </is>
      </c>
      <c r="M10" s="25" t="inlineStr">
        <is>
          <t>Azure Retail Prices API, Azure Databricks / Premium Jobs Compute DBU, westus3, USD per 1 Hour, meterId 8ee07b23-82ae-430e-a417-a050463ff4ee, fetched 2026-09-30</t>
        </is>
      </c>
      <c r="N10" s="25" t="inlineStr">
        <is>
          <t>assumption: single node at 1 DBU/h, ~120 h a month of UAT batches; synthetic portfolio figure, owner request 2026-09-30</t>
        </is>
      </c>
      <c r="O10" t="inlineStr">
        <is>
          <t>UAT</t>
        </is>
      </c>
    </row>
    <row r="11">
      <c r="A11" t="n">
        <v>7</v>
      </c>
      <c r="B11" t="inlineStr">
        <is>
          <t>Databricks cluster VM</t>
        </is>
      </c>
      <c r="C11" t="inlineStr">
        <is>
          <t>Virtual Machines</t>
        </is>
      </c>
      <c r="D11" t="inlineStr">
        <is>
          <t>Standard_D4s_v5</t>
        </is>
      </c>
      <c r="E11" t="inlineStr">
        <is>
          <t>1 Hour</t>
        </is>
      </c>
      <c r="F11" s="35" t="n">
        <v>0.192</v>
      </c>
      <c r="G11" s="4" t="n">
        <v>1</v>
      </c>
      <c r="H11" s="4" t="n">
        <v>120</v>
      </c>
      <c r="I11" s="14">
        <f>F11*G11*H11*FxRate</f>
        <v/>
      </c>
      <c r="J11" s="14">
        <f>I11*12/365</f>
        <v/>
      </c>
      <c r="K11" s="14">
        <f>I11*12</f>
        <v/>
      </c>
      <c r="L11" s="25" t="inlineStr">
        <is>
          <t>_bmad-output/specs/spec-corporate-portal-poc/stack.md Databricks Premium:</t>
        </is>
      </c>
      <c r="M11" s="25" t="inlineStr">
        <is>
          <t>Azure Retail Prices API, Virtual Machines Dsv5 Series / D4s v5, westus3, USD per 1 Hour, meterId a7d0753e-6fcd-5b61-8b6e-4727c10691a1, fetched 2026-09-30</t>
        </is>
      </c>
      <c r="N11" s="25" t="inlineStr">
        <is>
          <t>same ~120 h a month as the DBUs</t>
        </is>
      </c>
      <c r="O11" t="inlineStr">
        <is>
          <t>UAT</t>
        </is>
      </c>
    </row>
    <row r="12">
      <c r="A12" t="n">
        <v>8</v>
      </c>
      <c r="B12" t="inlineStr">
        <is>
          <t>Data lake (ADLS Gen2)</t>
        </is>
      </c>
      <c r="C12" t="inlineStr">
        <is>
          <t>Storage</t>
        </is>
      </c>
      <c r="D12" t="inlineStr">
        <is>
          <t>Hot ZRS, hierarchical namespace</t>
        </is>
      </c>
      <c r="E12" t="inlineStr">
        <is>
          <t>1 GB/Month</t>
        </is>
      </c>
      <c r="F12" s="35" t="n">
        <v>0.023</v>
      </c>
      <c r="G12" s="4" t="n">
        <v>500</v>
      </c>
      <c r="H12" s="4" t="n">
        <v>1</v>
      </c>
      <c r="I12" s="14">
        <f>F12*G12*H12*FxRate</f>
        <v/>
      </c>
      <c r="J12" s="14">
        <f>I12*12/365</f>
        <v/>
      </c>
      <c r="K12" s="14">
        <f>I12*12</f>
        <v/>
      </c>
      <c r="L12" s="25" t="inlineStr">
        <is>
          <t>_bmad-output/specs/spec-corporate-portal-poc/stack.md Medallion: ADLS Gen2</t>
        </is>
      </c>
      <c r="M12" s="25" t="inlineStr">
        <is>
          <t>Azure Retail Prices API, Azure Data Lake Storage Gen2 Hierarchical Namespace / Hot ZRS Data Stored, westus3, USD per 1 GB/Month, meterId 65f37adb-2a94-5d80-80e8-8a0bcd54d1aa, fetched 2026-09-30</t>
        </is>
      </c>
      <c r="N12" s="25" t="inlineStr">
        <is>
          <t>assumption: 500 GB, zone-redundant like Prod; synthetic portfolio figure, owner request 2026-09-30</t>
        </is>
      </c>
      <c r="O12" t="inlineStr">
        <is>
          <t>UAT</t>
        </is>
      </c>
    </row>
    <row r="13">
      <c r="A13" t="n">
        <v>9</v>
      </c>
      <c r="B13" t="inlineStr">
        <is>
          <t>Key Vault operations</t>
        </is>
      </c>
      <c r="C13" t="inlineStr">
        <is>
          <t>Key Vault</t>
        </is>
      </c>
      <c r="D13" t="inlineStr">
        <is>
          <t>Standard</t>
        </is>
      </c>
      <c r="E13" t="inlineStr">
        <is>
          <t>10K</t>
        </is>
      </c>
      <c r="F13" s="35" t="n">
        <v>0.03</v>
      </c>
      <c r="G13" s="4" t="n">
        <v>60</v>
      </c>
      <c r="H13" s="4" t="n">
        <v>1</v>
      </c>
      <c r="I13" s="14">
        <f>F13*G13*H13*FxRate</f>
        <v/>
      </c>
      <c r="J13" s="14">
        <f>I13*12/365</f>
        <v/>
      </c>
      <c r="K13" s="14">
        <f>I13*12</f>
        <v/>
      </c>
      <c r="L13" s="25" t="inlineStr">
        <is>
          <t>_bmad-output/specs/spec-corporate-portal-poc/stack.md HashiCorp Vault for app secrets</t>
        </is>
      </c>
      <c r="M13" s="25" t="inlineStr">
        <is>
          <t>Azure Retail Prices API, Key Vault / Operations (Standard), westus3, USD per 10K, meterId 0f824807-2376-435c-95c9-f992b67a07b0, fetched 2026-09-30</t>
        </is>
      </c>
      <c r="N13" s="25" t="inlineStr">
        <is>
          <t>assumption: 600K operations a month; synthetic portfolio figure, owner request 2026-09-30</t>
        </is>
      </c>
      <c r="O13" t="inlineStr">
        <is>
          <t>UAT</t>
        </is>
      </c>
    </row>
    <row r="14">
      <c r="A14" t="n">
        <v>10</v>
      </c>
      <c r="B14" t="inlineStr">
        <is>
          <t>Front Door</t>
        </is>
      </c>
      <c r="C14" t="inlineStr">
        <is>
          <t>Azure Front Door Service</t>
        </is>
      </c>
      <c r="D14" t="inlineStr">
        <is>
          <t>Standard base fee</t>
        </is>
      </c>
      <c r="E14" t="inlineStr">
        <is>
          <t>1/Month</t>
        </is>
      </c>
      <c r="F14" s="35" t="n">
        <v>35</v>
      </c>
      <c r="G14" s="4" t="n">
        <v>1</v>
      </c>
      <c r="H14" s="4" t="n">
        <v>1</v>
      </c>
      <c r="I14" s="14">
        <f>F14*G14*H14*FxRate</f>
        <v/>
      </c>
      <c r="J14" s="14">
        <f>I14*12/365</f>
        <v/>
      </c>
      <c r="K14" s="14">
        <f>I14*12</f>
        <v/>
      </c>
      <c r="L14" s="25" t="inlineStr">
        <is>
          <t>_bmad-output/specs/spec-corporate-portal-poc/stack.md Front Door Standard</t>
        </is>
      </c>
      <c r="M14" s="25" t="inlineStr">
        <is>
          <t>Azure Retail Prices API, Azure Front Door / Standard Base Fees, Zone 1, USD per 1/Month, meterId 7e3eab72-0b95-5524-984a-d1697f73feee, fetched 2026-09-30</t>
        </is>
      </c>
      <c r="N14" s="25" t="inlineStr">
        <is>
          <t>Standard, never Premium (SPEC constraints)</t>
        </is>
      </c>
      <c r="O14" t="inlineStr">
        <is>
          <t>UAT</t>
        </is>
      </c>
    </row>
    <row r="15">
      <c r="A15" t="n">
        <v>11</v>
      </c>
      <c r="B15" t="inlineStr">
        <is>
          <t>Log Analytics ingestion</t>
        </is>
      </c>
      <c r="C15" t="inlineStr">
        <is>
          <t>Log Analytics</t>
        </is>
      </c>
      <c r="D15" t="inlineStr">
        <is>
          <t>Analytics Logs</t>
        </is>
      </c>
      <c r="E15" t="inlineStr">
        <is>
          <t>1 GB</t>
        </is>
      </c>
      <c r="F15" s="35" t="n">
        <v>2.3</v>
      </c>
      <c r="G15" s="4" t="n">
        <v>15</v>
      </c>
      <c r="H15" s="4" t="n">
        <v>1</v>
      </c>
      <c r="I15" s="14">
        <f>F15*G15*H15*FxRate</f>
        <v/>
      </c>
      <c r="J15" s="14">
        <f>I15*12/365</f>
        <v/>
      </c>
      <c r="K15" s="14">
        <f>I15*12</f>
        <v/>
      </c>
      <c r="L15" s="25" t="inlineStr">
        <is>
          <t>assumption: AKS and SQL diagnostics, ~15 GB a month billed; synthetic portfolio figure, owner request 2026-09-30</t>
        </is>
      </c>
      <c r="M15" s="25" t="inlineStr">
        <is>
          <t>Azure Retail Prices API, Log Analytics / Analytics Logs Data Ingestion (above the 5 GB free tier), westus3, USD per 1 GB, meterId ffbd06c0-e72e-42b6-b612-f03144b476df, fetched 2026-09-30</t>
        </is>
      </c>
      <c r="N15" s="25" t="inlineStr">
        <is>
          <t>Prometheus and Grafana run in the cluster</t>
        </is>
      </c>
      <c r="O15" t="inlineStr">
        <is>
          <t>UAT</t>
        </is>
      </c>
    </row>
    <row r="16">
      <c r="A16" t="n">
        <v>12</v>
      </c>
      <c r="B16" t="inlineStr">
        <is>
          <t>Private endpoints</t>
        </is>
      </c>
      <c r="C16" t="inlineStr">
        <is>
          <t>Virtual Network</t>
        </is>
      </c>
      <c r="D16" t="inlineStr">
        <is>
          <t>Standard Private Endpoint</t>
        </is>
      </c>
      <c r="E16" t="inlineStr">
        <is>
          <t>1 Hour</t>
        </is>
      </c>
      <c r="F16" s="35" t="n">
        <v>0.01</v>
      </c>
      <c r="G16" s="4" t="n">
        <v>4</v>
      </c>
      <c r="H16" s="13">
        <f>HoursPerMonth</f>
        <v/>
      </c>
      <c r="I16" s="14">
        <f>F16*G16*H16*FxRate</f>
        <v/>
      </c>
      <c r="J16" s="14">
        <f>I16*12/365</f>
        <v/>
      </c>
      <c r="K16" s="14">
        <f>I16*12</f>
        <v/>
      </c>
      <c r="L16" s="25" t="inlineStr">
        <is>
          <t>_bmad-output/specs/spec-corporate-portal-poc/stack.md Private endpoints: ADLS, SQL, Key Vault and Event Hubs</t>
        </is>
      </c>
      <c r="M16" s="25" t="inlineStr">
        <is>
          <t>Azure Retail Prices API, Virtual Network Private Link / Standard Private Endpoint, Global, USD per 1 Hour, meterId e6ab7238-e433-4fe0-a2b2-2b2564df2cdb, fetched 2026-09-30</t>
        </is>
      </c>
      <c r="N16" s="25" t="inlineStr">
        <is>
          <t>4 endpoints (lake, SQL, Key Vault, Event Hubs per region)</t>
        </is>
      </c>
      <c r="O16" t="inlineStr">
        <is>
          <t>UAT</t>
        </is>
      </c>
    </row>
    <row r="17">
      <c r="A17" t="n">
        <v>13</v>
      </c>
      <c r="B17" t="inlineStr">
        <is>
          <t>Private endpoint data processed</t>
        </is>
      </c>
      <c r="C17" t="inlineStr">
        <is>
          <t>Virtual Network</t>
        </is>
      </c>
      <c r="D17" t="inlineStr">
        <is>
          <t>Private Link data processed</t>
        </is>
      </c>
      <c r="E17" t="inlineStr">
        <is>
          <t>1 GB</t>
        </is>
      </c>
      <c r="F17" s="35" t="n">
        <v>0.01</v>
      </c>
      <c r="G17" s="4" t="n">
        <v>1</v>
      </c>
      <c r="H17" s="4" t="n">
        <v>150</v>
      </c>
      <c r="I17" s="14">
        <f>F17*G17*H17*FxRate</f>
        <v/>
      </c>
      <c r="J17" s="14">
        <f>I17*12/365</f>
        <v/>
      </c>
      <c r="K17" s="14">
        <f>I17*12</f>
        <v/>
      </c>
      <c r="L17" s="25" t="inlineStr">
        <is>
          <t>_bmad-output/specs/spec-corporate-portal-poc/stack.md Private endpoints: ADLS, SQL, Key Vault and Event Hubs</t>
        </is>
      </c>
      <c r="M17" s="25" t="inlineStr">
        <is>
          <t>Azure Retail Prices API, Virtual Network Private Link / Standard Data Processed - Ingress, Global, USD per 1 GB, meterId 10caa28b-6479-4852-9eb7-610870cb6417, fetched 2026-09-30</t>
        </is>
      </c>
      <c r="N17" s="25" t="inlineStr">
        <is>
          <t>assumption: 150 GB a month through the private endpoints; synthetic portfolio figure, owner request 2026-09-30</t>
        </is>
      </c>
      <c r="O17" t="inlineStr">
        <is>
          <t>UAT</t>
        </is>
      </c>
    </row>
    <row r="18">
      <c r="A18" t="n">
        <v>14</v>
      </c>
      <c r="B18" t="inlineStr">
        <is>
          <t>Private DNS zones</t>
        </is>
      </c>
      <c r="C18" t="inlineStr">
        <is>
          <t>Azure DNS</t>
        </is>
      </c>
      <c r="D18" t="inlineStr">
        <is>
          <t>Private Zone</t>
        </is>
      </c>
      <c r="E18" t="inlineStr">
        <is>
          <t>1/Month</t>
        </is>
      </c>
      <c r="F18" s="35" t="n">
        <v>0.5</v>
      </c>
      <c r="G18" s="4" t="n">
        <v>4</v>
      </c>
      <c r="H18" s="4" t="n">
        <v>1</v>
      </c>
      <c r="I18" s="14">
        <f>F18*G18*H18*FxRate</f>
        <v/>
      </c>
      <c r="J18" s="14">
        <f>I18*12/365</f>
        <v/>
      </c>
      <c r="K18" s="14">
        <f>I18*12</f>
        <v/>
      </c>
      <c r="L18" s="25" t="inlineStr">
        <is>
          <t>_bmad-output/specs/spec-corporate-portal-poc/stack.md Private endpoints: ADLS, SQL, Key Vault and Event Hubs</t>
        </is>
      </c>
      <c r="M18" s="25" t="inlineStr">
        <is>
          <t>Azure Retail Prices API, Azure DNS / Private Zone, Zone 1, USD per 1, meterId 0b608a26-f611-4232-8192-ce81b6b57194, fetched 2026-09-30</t>
        </is>
      </c>
      <c r="N18" s="25" t="inlineStr">
        <is>
          <t>one zone per private-endpoint service</t>
        </is>
      </c>
      <c r="O18" t="inlineStr">
        <is>
          <t>UAT</t>
        </is>
      </c>
    </row>
    <row r="19">
      <c r="A19" t="n">
        <v>15</v>
      </c>
      <c r="B19" t="inlineStr">
        <is>
          <t>NAT gateway (Databricks egress)</t>
        </is>
      </c>
      <c r="C19" t="inlineStr">
        <is>
          <t>NAT Gateway</t>
        </is>
      </c>
      <c r="D19" t="inlineStr">
        <is>
          <t>Standard</t>
        </is>
      </c>
      <c r="E19" t="inlineStr">
        <is>
          <t>1 Hour</t>
        </is>
      </c>
      <c r="F19" s="35" t="n">
        <v>0.045</v>
      </c>
      <c r="G19" s="4" t="n">
        <v>1</v>
      </c>
      <c r="H19" s="13">
        <f>HoursPerMonth</f>
        <v/>
      </c>
      <c r="I19" s="14">
        <f>F19*G19*H19*FxRate</f>
        <v/>
      </c>
      <c r="J19" s="14">
        <f>I19*12/365</f>
        <v/>
      </c>
      <c r="K19" s="14">
        <f>I19*12</f>
        <v/>
      </c>
      <c r="L19" s="25" t="inlineStr">
        <is>
          <t>_bmad-output/specs/spec-corporate-portal-poc/stack.md VNet-injected with a NAT gateway</t>
        </is>
      </c>
      <c r="M19" s="25" t="inlineStr">
        <is>
          <t>Azure Retail Prices API, NAT Gateway / Standard Gateway, Global, USD per 1 Hour, meterId ae30040a-67f5-485b-b0f4-a6ef50504d9c, fetched 2026-09-30</t>
        </is>
      </c>
      <c r="N19" s="25" t="inlineStr"/>
      <c r="O19" t="inlineStr">
        <is>
          <t>UAT</t>
        </is>
      </c>
    </row>
    <row r="20">
      <c r="A20" t="n">
        <v>16</v>
      </c>
      <c r="B20" t="inlineStr">
        <is>
          <t>NAT gateway data processed</t>
        </is>
      </c>
      <c r="C20" t="inlineStr">
        <is>
          <t>NAT Gateway</t>
        </is>
      </c>
      <c r="D20" t="inlineStr">
        <is>
          <t>Standard data processed</t>
        </is>
      </c>
      <c r="E20" t="inlineStr">
        <is>
          <t>1 GB</t>
        </is>
      </c>
      <c r="F20" s="35" t="n">
        <v>0.045</v>
      </c>
      <c r="G20" s="4" t="n">
        <v>1</v>
      </c>
      <c r="H20" s="4" t="n">
        <v>60</v>
      </c>
      <c r="I20" s="14">
        <f>F20*G20*H20*FxRate</f>
        <v/>
      </c>
      <c r="J20" s="14">
        <f>I20*12/365</f>
        <v/>
      </c>
      <c r="K20" s="14">
        <f>I20*12</f>
        <v/>
      </c>
      <c r="L20" s="25" t="inlineStr">
        <is>
          <t>_bmad-output/specs/spec-corporate-portal-poc/stack.md VNet-injected with a NAT gateway</t>
        </is>
      </c>
      <c r="M20" s="25" t="inlineStr">
        <is>
          <t>Azure Retail Prices API, NAT Gateway / Standard Data Processed, Global, USD per 1 GB, meterId d32b6352-b66b-4c4c-8f21-60e94058e04d, fetched 2026-09-30</t>
        </is>
      </c>
      <c r="N20" s="25" t="inlineStr">
        <is>
          <t>assumption: 60 GB of Databricks egress a month; synthetic portfolio figure, owner request 2026-09-30</t>
        </is>
      </c>
      <c r="O20" t="inlineStr">
        <is>
          <t>UAT</t>
        </is>
      </c>
    </row>
    <row r="21">
      <c r="A21" t="n">
        <v>17</v>
      </c>
      <c r="B21" t="inlineStr">
        <is>
          <t>Kong ingress load balancer</t>
        </is>
      </c>
      <c r="C21" t="inlineStr">
        <is>
          <t>Load Balancer</t>
        </is>
      </c>
      <c r="D21" t="inlineStr">
        <is>
          <t>Standard</t>
        </is>
      </c>
      <c r="E21" t="inlineStr">
        <is>
          <t>1 Hour</t>
        </is>
      </c>
      <c r="F21" s="35" t="n">
        <v>0.025</v>
      </c>
      <c r="G21" s="4" t="n">
        <v>1</v>
      </c>
      <c r="H21" s="13">
        <f>HoursPerMonth</f>
        <v/>
      </c>
      <c r="I21" s="14">
        <f>F21*G21*H21*FxRate</f>
        <v/>
      </c>
      <c r="J21" s="14">
        <f>I21*12/365</f>
        <v/>
      </c>
      <c r="K21" s="14">
        <f>I21*12</f>
        <v/>
      </c>
      <c r="L21" s="25" t="inlineStr">
        <is>
          <t>_bmad-output/specs/spec-corporate-portal-poc/stack.md Kong OSS as the API gateway (ingress)</t>
        </is>
      </c>
      <c r="M21" s="25" t="inlineStr">
        <is>
          <t>Azure Retail Prices API, Load Balancer / Standard Included LB Rules and Outbound Rules, Global, USD per 1 Hour, meterId 27827eb0-7f60-4928-940b-f5fe15e7a4cb, fetched 2026-09-30</t>
        </is>
      </c>
      <c r="N21" s="25" t="inlineStr"/>
      <c r="O21" t="inlineStr">
        <is>
          <t>UAT</t>
        </is>
      </c>
    </row>
    <row r="22">
      <c r="A22" t="n">
        <v>18</v>
      </c>
      <c r="B22" t="inlineStr">
        <is>
          <t>Ingress public IPs</t>
        </is>
      </c>
      <c r="C22" t="inlineStr">
        <is>
          <t>Virtual Network</t>
        </is>
      </c>
      <c r="D22" t="inlineStr">
        <is>
          <t>Standard IPv4 static</t>
        </is>
      </c>
      <c r="E22" t="inlineStr">
        <is>
          <t>1 Hour</t>
        </is>
      </c>
      <c r="F22" s="35" t="n">
        <v>0.005</v>
      </c>
      <c r="G22" s="4" t="n">
        <v>1</v>
      </c>
      <c r="H22" s="13">
        <f>HoursPerMonth</f>
        <v/>
      </c>
      <c r="I22" s="14">
        <f>F22*G22*H22*FxRate</f>
        <v/>
      </c>
      <c r="J22" s="14">
        <f>I22*12/365</f>
        <v/>
      </c>
      <c r="K22" s="14">
        <f>I22*12</f>
        <v/>
      </c>
      <c r="L22" s="25" t="inlineStr">
        <is>
          <t>_bmad-output/specs/spec-corporate-portal-poc/stack.md Kong OSS as the API gateway (ingress)</t>
        </is>
      </c>
      <c r="M22" s="25" t="inlineStr">
        <is>
          <t>Azure Retail Prices API, IP Addresses / Standard IPv4 Static Public IP, westus3, USD per 1 Hour, meterId 9c150bf9-2bad-430e-a53c-c213804f49ef, fetched 2026-09-30</t>
        </is>
      </c>
      <c r="N22" s="25" t="inlineStr"/>
      <c r="O22" t="inlineStr">
        <is>
          <t>UAT</t>
        </is>
      </c>
    </row>
    <row r="23">
      <c r="F23" s="15" t="n"/>
      <c r="G23" s="15" t="n"/>
      <c r="H23" s="15" t="n"/>
      <c r="I23" s="14">
        <f>IF(F23="","",F23*G23*H23*FxRate)</f>
        <v/>
      </c>
      <c r="J23" s="14">
        <f>IF(I23="","",I23*12/365)</f>
        <v/>
      </c>
      <c r="K23" s="14">
        <f>IF(I23="","",I23*12)</f>
        <v/>
      </c>
      <c r="O23" t="inlineStr">
        <is>
          <t>UAT</t>
        </is>
      </c>
    </row>
    <row r="24">
      <c r="F24" s="15" t="n"/>
      <c r="G24" s="15" t="n"/>
      <c r="H24" s="15" t="n"/>
      <c r="I24" s="14">
        <f>IF(F24="","",F24*G24*H24*FxRate)</f>
        <v/>
      </c>
      <c r="J24" s="14">
        <f>IF(I24="","",I24*12/365)</f>
        <v/>
      </c>
      <c r="K24" s="14">
        <f>IF(I24="","",I24*12)</f>
        <v/>
      </c>
      <c r="O24" t="inlineStr">
        <is>
          <t>UAT</t>
        </is>
      </c>
    </row>
    <row r="25">
      <c r="F25" s="15" t="n"/>
      <c r="G25" s="15" t="n"/>
      <c r="H25" s="15" t="n"/>
      <c r="I25" s="14">
        <f>IF(F25="","",F25*G25*H25*FxRate)</f>
        <v/>
      </c>
      <c r="J25" s="14">
        <f>IF(I25="","",I25*12/365)</f>
        <v/>
      </c>
      <c r="K25" s="14">
        <f>IF(I25="","",I25*12)</f>
        <v/>
      </c>
      <c r="O25" t="inlineStr">
        <is>
          <t>UAT</t>
        </is>
      </c>
    </row>
    <row r="26">
      <c r="A26" s="16" t="inlineStr">
        <is>
          <t>Total</t>
        </is>
      </c>
      <c r="B26" s="16" t="n"/>
      <c r="C26" s="16" t="n"/>
      <c r="D26" s="16" t="n"/>
      <c r="E26" s="16" t="n"/>
      <c r="F26" s="16" t="n"/>
      <c r="G26" s="16" t="n"/>
      <c r="H26" s="16" t="n"/>
      <c r="I26" s="18">
        <f>SUM(I5:I25)</f>
        <v/>
      </c>
      <c r="J26" s="18">
        <f>SUM(J5:J25)</f>
        <v/>
      </c>
      <c r="K26" s="18">
        <f>SUM(K5:K25)</f>
        <v/>
      </c>
      <c r="L26" s="16" t="n"/>
      <c r="M26" s="16" t="n"/>
      <c r="N26" s="16"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O31"/>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Prod environment</t>
        </is>
      </c>
    </row>
    <row r="2">
      <c r="A2" t="inlineStr">
        <is>
          <t>Azure retail list prices (pay-as-you-go) in westus3, USD, fetched 2026-09-30.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uptime SLA, both regions</t>
        </is>
      </c>
      <c r="C5" t="inlineStr">
        <is>
          <t>Azure Kubernetes Service</t>
        </is>
      </c>
      <c r="D5" t="inlineStr">
        <is>
          <t>Standard tier</t>
        </is>
      </c>
      <c r="E5" t="inlineStr">
        <is>
          <t>1 Hour</t>
        </is>
      </c>
      <c r="F5" s="35" t="n">
        <v>0.1</v>
      </c>
      <c r="G5" s="4" t="n">
        <v>2</v>
      </c>
      <c r="H5" s="13">
        <f>HoursPerMonth</f>
        <v/>
      </c>
      <c r="I5" s="14">
        <f>F5*G5*H5*FxRate</f>
        <v/>
      </c>
      <c r="J5" s="14">
        <f>I5*12/365</f>
        <v/>
      </c>
      <c r="K5" s="14">
        <f>I5*12</f>
        <v/>
      </c>
      <c r="L5" s="25" t="inlineStr">
        <is>
          <t>_bmad-output/specs/spec-corporate-portal-poc/stack.md AKS with Node Auto Provisioning</t>
        </is>
      </c>
      <c r="M5" s="25" t="inlineStr">
        <is>
          <t>Azure Retail Prices API, Azure Kubernetes Service / Standard Uptime SLA, westus3, USD per 1 Hour, meterId 251a08e1-40d6-48e6-8368-4c3e5ee3bbff, fetched 2026-09-30</t>
        </is>
      </c>
      <c r="N5" s="25" t="inlineStr">
        <is>
          <t>West US 3 and North Central US clusters; both priced at the same list meter</t>
        </is>
      </c>
      <c r="O5" t="inlineStr">
        <is>
          <t>Prod</t>
        </is>
      </c>
    </row>
    <row r="6">
      <c r="A6" t="n">
        <v>2</v>
      </c>
      <c r="B6" t="inlineStr">
        <is>
          <t>AKS system nodes, West US 3</t>
        </is>
      </c>
      <c r="C6" t="inlineStr">
        <is>
          <t>Virtual Machines</t>
        </is>
      </c>
      <c r="D6" t="inlineStr">
        <is>
          <t>Standard_D4s_v5</t>
        </is>
      </c>
      <c r="E6" t="inlineStr">
        <is>
          <t>1 Hour</t>
        </is>
      </c>
      <c r="F6" s="35" t="n">
        <v>0.192</v>
      </c>
      <c r="G6" s="4" t="n">
        <v>3</v>
      </c>
      <c r="H6" s="13">
        <f>HoursPerMonth</f>
        <v/>
      </c>
      <c r="I6" s="14">
        <f>F6*G6*H6*FxRate</f>
        <v/>
      </c>
      <c r="J6" s="14">
        <f>I6*12/365</f>
        <v/>
      </c>
      <c r="K6" s="14">
        <f>I6*12</f>
        <v/>
      </c>
      <c r="L6" s="25" t="inlineStr">
        <is>
          <t>_bmad-output/specs/spec-corporate-portal-poc/stack.md AKS with Node Auto Provisioning</t>
        </is>
      </c>
      <c r="M6" s="25" t="inlineStr">
        <is>
          <t>Azure Retail Prices API, Virtual Machines Dsv5 Series / D4s v5, westus3, USD per 1 Hour, meterId a7d0753e-6fcd-5b61-8b6e-4727c10691a1, fetched 2026-09-30</t>
        </is>
      </c>
      <c r="N6" s="25" t="inlineStr">
        <is>
          <t>assumption: 3 system nodes across availability zones; synthetic portfolio figure, owner request 2026-09-30</t>
        </is>
      </c>
      <c r="O6" t="inlineStr">
        <is>
          <t>Prod</t>
        </is>
      </c>
    </row>
    <row r="7">
      <c r="A7" t="n">
        <v>3</v>
      </c>
      <c r="B7" t="inlineStr">
        <is>
          <t>AKS service nodes, West US 3</t>
        </is>
      </c>
      <c r="C7" t="inlineStr">
        <is>
          <t>Virtual Machines</t>
        </is>
      </c>
      <c r="D7" t="inlineStr">
        <is>
          <t>Standard_D8s_v5</t>
        </is>
      </c>
      <c r="E7" t="inlineStr">
        <is>
          <t>1 Hour</t>
        </is>
      </c>
      <c r="F7" s="35" t="n">
        <v>0.384</v>
      </c>
      <c r="G7" s="4" t="n">
        <v>3</v>
      </c>
      <c r="H7" s="13">
        <f>HoursPerMonth</f>
        <v/>
      </c>
      <c r="I7" s="14">
        <f>F7*G7*H7*FxRate</f>
        <v/>
      </c>
      <c r="J7" s="14">
        <f>I7*12/365</f>
        <v/>
      </c>
      <c r="K7" s="14">
        <f>I7*12</f>
        <v/>
      </c>
      <c r="L7" s="25" t="inlineStr">
        <is>
          <t>_bmad-output/specs/spec-corporate-portal-poc/stack.md AKS with Node Auto Provisioning</t>
        </is>
      </c>
      <c r="M7" s="25" t="inlineStr">
        <is>
          <t>Azure Retail Prices API, Virtual Machines Dsv5 Series / D8s v5, westus3, USD per 1 Hour, meterId 78f46250-07b1-5b70-be7a-54b964dcf1c2, fetched 2026-09-30</t>
        </is>
      </c>
      <c r="N7" s="25" t="inlineStr">
        <is>
          <t>assumption: 3 service nodes for the microservices, Kong, Vault and monitoring; synthetic portfolio figure, owner request 2026-09-30</t>
        </is>
      </c>
      <c r="O7" t="inlineStr">
        <is>
          <t>Prod</t>
        </is>
      </c>
    </row>
    <row r="8">
      <c r="A8" t="n">
        <v>4</v>
      </c>
      <c r="B8" t="inlineStr">
        <is>
          <t>AKS nodes, North Central US</t>
        </is>
      </c>
      <c r="C8" t="inlineStr">
        <is>
          <t>Virtual Machines</t>
        </is>
      </c>
      <c r="D8" t="inlineStr">
        <is>
          <t>Standard_D4s_v5</t>
        </is>
      </c>
      <c r="E8" t="inlineStr">
        <is>
          <t>1 Hour</t>
        </is>
      </c>
      <c r="F8" s="35" t="n">
        <v>0.192</v>
      </c>
      <c r="G8" s="4" t="n">
        <v>3</v>
      </c>
      <c r="H8" s="13">
        <f>HoursPerMonth</f>
        <v/>
      </c>
      <c r="I8" s="14">
        <f>F8*G8*H8*FxRate</f>
        <v/>
      </c>
      <c r="J8" s="14">
        <f>I8*12/365</f>
        <v/>
      </c>
      <c r="K8" s="14">
        <f>I8*12</f>
        <v/>
      </c>
      <c r="L8" s="25" t="inlineStr">
        <is>
          <t>_bmad-output/specs/spec-corporate-portal-poc/stack.md the same Terraform module applied to North Central US</t>
        </is>
      </c>
      <c r="M8" s="25" t="inlineStr">
        <is>
          <t>Azure Retail Prices API, Virtual Machines Dsv5 Series / D4s v5, northcentralus, USD per 1 Hour, meterId f85b750a-42a9-5bd6-aea5-dea01bb8fcfb, fetched 2026-09-30</t>
        </is>
      </c>
      <c r="N8" s="25" t="inlineStr">
        <is>
          <t>active second region behind Front Door (CAP-12)</t>
        </is>
      </c>
      <c r="O8" t="inlineStr">
        <is>
          <t>Prod</t>
        </is>
      </c>
    </row>
    <row r="9">
      <c r="A9" t="n">
        <v>5</v>
      </c>
      <c r="B9" t="inlineStr">
        <is>
          <t>Azure SQL ledger primary (GP 4 vCore)</t>
        </is>
      </c>
      <c r="C9" t="inlineStr">
        <is>
          <t>SQL Database</t>
        </is>
      </c>
      <c r="D9" t="inlineStr">
        <is>
          <t>General Purpose Gen5 4 vCore</t>
        </is>
      </c>
      <c r="E9" t="inlineStr">
        <is>
          <t>1 Hour</t>
        </is>
      </c>
      <c r="F9" s="35" t="n">
        <v>0.608868</v>
      </c>
      <c r="G9" s="4" t="n">
        <v>1</v>
      </c>
      <c r="H9" s="13">
        <f>HoursPerMonth</f>
        <v/>
      </c>
      <c r="I9" s="14">
        <f>F9*G9*H9*FxRate</f>
        <v/>
      </c>
      <c r="J9" s="14">
        <f>I9*12/365</f>
        <v/>
      </c>
      <c r="K9" s="14">
        <f>I9*12</f>
        <v/>
      </c>
      <c r="L9" s="25" t="inlineStr">
        <is>
          <t>_bmad-output/specs/spec-corporate-portal-poc/stack.md Operational ledger, including payment approval state and an outbox table</t>
        </is>
      </c>
      <c r="M9" s="25" t="inlineStr">
        <is>
          <t>Azure Retail Prices API, SQL Database Single/Elastic Pool General Purpose - Compute Gen5 / vCore (4 vCore), westus3, USD per 1 Hour, meterId ed73d792-d844-5a0d-a685-a23c087bd0bc, fetched 2026-09-30</t>
        </is>
      </c>
      <c r="N9" s="25" t="inlineStr">
        <is>
          <t>assumption: General Purpose 4 vCore for ~6,500 registered users; synthetic portfolio figure, owner request 2026-09-30</t>
        </is>
      </c>
      <c r="O9" t="inlineStr">
        <is>
          <t>Prod</t>
        </is>
      </c>
    </row>
    <row r="10">
      <c r="A10" t="n">
        <v>6</v>
      </c>
      <c r="B10" t="inlineStr">
        <is>
          <t>Azure SQL geo-secondary, North Central US</t>
        </is>
      </c>
      <c r="C10" t="inlineStr">
        <is>
          <t>SQL Database</t>
        </is>
      </c>
      <c r="D10" t="inlineStr">
        <is>
          <t>General Purpose Gen5 4 vCore</t>
        </is>
      </c>
      <c r="E10" t="inlineStr">
        <is>
          <t>1 Hour</t>
        </is>
      </c>
      <c r="F10" s="35" t="n">
        <v>0.608868</v>
      </c>
      <c r="G10" s="4" t="n">
        <v>1</v>
      </c>
      <c r="H10" s="13">
        <f>HoursPerMonth</f>
        <v/>
      </c>
      <c r="I10" s="14">
        <f>F10*G10*H10*FxRate</f>
        <v/>
      </c>
      <c r="J10" s="14">
        <f>I10*12/365</f>
        <v/>
      </c>
      <c r="K10" s="14">
        <f>I10*12</f>
        <v/>
      </c>
      <c r="L10" s="25" t="inlineStr">
        <is>
          <t>_bmad-output/specs/spec-corporate-portal-poc/stack.md `enable_sql_failover` flag</t>
        </is>
      </c>
      <c r="M10" s="25" t="inlineStr">
        <is>
          <t>Azure Retail Prices API, SQL Database Single/Elastic Pool General Purpose - Compute Gen5 / vCore (4 vCore), northcentralus, USD per 1 Hour, meterId d6a98653-89d1-4981-a1bd-f44dcfd14fa2, fetched 2026-09-30</t>
        </is>
      </c>
      <c r="N10" s="25" t="inlineStr">
        <is>
          <t>failover group secondary, always on in Prod (CAP-13)</t>
        </is>
      </c>
      <c r="O10" t="inlineStr">
        <is>
          <t>Prod</t>
        </is>
      </c>
    </row>
    <row r="11">
      <c r="A11" t="n">
        <v>7</v>
      </c>
      <c r="B11" t="inlineStr">
        <is>
          <t>Azure SQL storage, both regions</t>
        </is>
      </c>
      <c r="C11" t="inlineStr">
        <is>
          <t>SQL Database</t>
        </is>
      </c>
      <c r="D11" t="inlineStr">
        <is>
          <t>General Purpose data stored</t>
        </is>
      </c>
      <c r="E11" t="inlineStr">
        <is>
          <t>1 GB/Month</t>
        </is>
      </c>
      <c r="F11" s="35" t="n">
        <v>0.115</v>
      </c>
      <c r="G11" s="4" t="n">
        <v>500</v>
      </c>
      <c r="H11" s="4" t="n">
        <v>1</v>
      </c>
      <c r="I11" s="14">
        <f>F11*G11*H11*FxRate</f>
        <v/>
      </c>
      <c r="J11" s="14">
        <f>I11*12/365</f>
        <v/>
      </c>
      <c r="K11" s="14">
        <f>I11*12</f>
        <v/>
      </c>
      <c r="L11" s="25" t="inlineStr">
        <is>
          <t>_bmad-output/specs/spec-corporate-portal-poc/stack.md Operational ledger, including payment approval state and an outbox table</t>
        </is>
      </c>
      <c r="M11" s="25" t="inlineStr">
        <is>
          <t>Azure Retail Prices API, SQL Database Single/Elastic Pool General Purpose - Storage / General Purpose Data Stored, westus3, USD per 1 GB/Month, meterId d59e97de-70e6-5505-8346-fdcbca6938b2, fetched 2026-09-30</t>
        </is>
      </c>
      <c r="N11" s="25" t="inlineStr">
        <is>
          <t>assumption: 250 GB per region; synthetic portfolio figure, owner request 2026-09-30</t>
        </is>
      </c>
      <c r="O11" t="inlineStr">
        <is>
          <t>Prod</t>
        </is>
      </c>
    </row>
    <row r="12">
      <c r="A12" t="n">
        <v>8</v>
      </c>
      <c r="B12" t="inlineStr">
        <is>
          <t>Event Hubs throughput units</t>
        </is>
      </c>
      <c r="C12" t="inlineStr">
        <is>
          <t>Event Hubs</t>
        </is>
      </c>
      <c r="D12" t="inlineStr">
        <is>
          <t>Standard</t>
        </is>
      </c>
      <c r="E12" t="inlineStr">
        <is>
          <t>1 Hour</t>
        </is>
      </c>
      <c r="F12" s="35" t="n">
        <v>0.03</v>
      </c>
      <c r="G12" s="4" t="n">
        <v>2</v>
      </c>
      <c r="H12" s="13">
        <f>HoursPerMonth</f>
        <v/>
      </c>
      <c r="I12" s="14">
        <f>F12*G12*H12*FxRate</f>
        <v/>
      </c>
      <c r="J12" s="14">
        <f>I12*12/365</f>
        <v/>
      </c>
      <c r="K12" s="14">
        <f>I12*12</f>
        <v/>
      </c>
      <c r="L12" s="25" t="inlineStr">
        <is>
          <t>_bmad-output/specs/spec-corporate-portal-poc/stack.md Event Hubs Standard (1 TU, 7-day retention)</t>
        </is>
      </c>
      <c r="M12" s="25" t="inlineStr">
        <is>
          <t>Azure Retail Prices API, Event Hubs / Standard Throughput Unit, westus3, USD per 1 Hour, meterId 62d94a65-9300-48a6-8c15-0e70fc41eb44, fetched 2026-09-30</t>
        </is>
      </c>
      <c r="N12" s="25" t="inlineStr">
        <is>
          <t>assumption: 2 TUs for production payment and ledger events; synthetic portfolio figure, owner request 2026-09-30</t>
        </is>
      </c>
      <c r="O12" t="inlineStr">
        <is>
          <t>Prod</t>
        </is>
      </c>
    </row>
    <row r="13">
      <c r="A13" t="n">
        <v>9</v>
      </c>
      <c r="B13" t="inlineStr">
        <is>
          <t>Event Hubs ingress events</t>
        </is>
      </c>
      <c r="C13" t="inlineStr">
        <is>
          <t>Event Hubs</t>
        </is>
      </c>
      <c r="D13" t="inlineStr">
        <is>
          <t>Standard ingress</t>
        </is>
      </c>
      <c r="E13" t="inlineStr">
        <is>
          <t>1M</t>
        </is>
      </c>
      <c r="F13" s="35" t="n">
        <v>0.028</v>
      </c>
      <c r="G13" s="4" t="n">
        <v>30</v>
      </c>
      <c r="H13" s="4" t="n">
        <v>1</v>
      </c>
      <c r="I13" s="14">
        <f>F13*G13*H13*FxRate</f>
        <v/>
      </c>
      <c r="J13" s="14">
        <f>I13*12/365</f>
        <v/>
      </c>
      <c r="K13" s="14">
        <f>I13*12</f>
        <v/>
      </c>
      <c r="L13" s="25" t="inlineStr">
        <is>
          <t>_bmad-output/specs/spec-corporate-portal-poc/stack.md Event Hubs Standard (1 TU, 7-day retention)</t>
        </is>
      </c>
      <c r="M13" s="25" t="inlineStr">
        <is>
          <t>Azure Retail Prices API, Event Hubs / Standard Ingress Events, westus3, USD per 1M, meterId d0a685ee-f093-4c5c-ba76-3ec342a75de7, fetched 2026-09-30</t>
        </is>
      </c>
      <c r="N13" s="25" t="inlineStr">
        <is>
          <t>assumption: 30 million events a month; synthetic portfolio figure, owner request 2026-09-30</t>
        </is>
      </c>
      <c r="O13" t="inlineStr">
        <is>
          <t>Prod</t>
        </is>
      </c>
    </row>
    <row r="14">
      <c r="A14" t="n">
        <v>10</v>
      </c>
      <c r="B14" t="inlineStr">
        <is>
          <t>Databricks jobs compute (DBU)</t>
        </is>
      </c>
      <c r="C14" t="inlineStr">
        <is>
          <t>Azure Databricks</t>
        </is>
      </c>
      <c r="D14" t="inlineStr">
        <is>
          <t>Premium Jobs Compute</t>
        </is>
      </c>
      <c r="E14" t="inlineStr">
        <is>
          <t>1 Hour</t>
        </is>
      </c>
      <c r="F14" s="35" t="n">
        <v>0.3</v>
      </c>
      <c r="G14" s="4" t="n">
        <v>2</v>
      </c>
      <c r="H14" s="4" t="n">
        <v>365</v>
      </c>
      <c r="I14" s="14">
        <f>F14*G14*H14*FxRate</f>
        <v/>
      </c>
      <c r="J14" s="14">
        <f>I14*12/365</f>
        <v/>
      </c>
      <c r="K14" s="14">
        <f>I14*12</f>
        <v/>
      </c>
      <c r="L14" s="25" t="inlineStr">
        <is>
          <t>_bmad-output/specs/spec-corporate-portal-poc/stack.md Databricks Premium:</t>
        </is>
      </c>
      <c r="M14" s="25" t="inlineStr">
        <is>
          <t>Azure Retail Prices API, Azure Databricks / Premium Jobs Compute DBU, westus3, USD per 1 Hour, meterId 8ee07b23-82ae-430e-a417-a050463ff4ee, fetched 2026-09-30</t>
        </is>
      </c>
      <c r="N14" s="25" t="inlineStr">
        <is>
          <t>assumption: 2-node jobs cluster at 1 DBU/h per node, micro-batches ~12 h a day (365 h/month), plus nightly forecast and anomaly scoring; synthetic portfolio figure, owner request 2026-09-30</t>
        </is>
      </c>
      <c r="O14" t="inlineStr">
        <is>
          <t>Prod</t>
        </is>
      </c>
    </row>
    <row r="15">
      <c r="A15" t="n">
        <v>11</v>
      </c>
      <c r="B15" t="inlineStr">
        <is>
          <t>Databricks cluster VMs</t>
        </is>
      </c>
      <c r="C15" t="inlineStr">
        <is>
          <t>Virtual Machines</t>
        </is>
      </c>
      <c r="D15" t="inlineStr">
        <is>
          <t>Standard_D4s_v5</t>
        </is>
      </c>
      <c r="E15" t="inlineStr">
        <is>
          <t>1 Hour</t>
        </is>
      </c>
      <c r="F15" s="35" t="n">
        <v>0.192</v>
      </c>
      <c r="G15" s="4" t="n">
        <v>2</v>
      </c>
      <c r="H15" s="4" t="n">
        <v>365</v>
      </c>
      <c r="I15" s="14">
        <f>F15*G15*H15*FxRate</f>
        <v/>
      </c>
      <c r="J15" s="14">
        <f>I15*12/365</f>
        <v/>
      </c>
      <c r="K15" s="14">
        <f>I15*12</f>
        <v/>
      </c>
      <c r="L15" s="25" t="inlineStr">
        <is>
          <t>_bmad-output/specs/spec-corporate-portal-poc/stack.md Databricks Premium:</t>
        </is>
      </c>
      <c r="M15" s="25" t="inlineStr">
        <is>
          <t>Azure Retail Prices API, Virtual Machines Dsv5 Series / D4s v5, westus3, USD per 1 Hour, meterId a7d0753e-6fcd-5b61-8b6e-4727c10691a1, fetched 2026-09-30</t>
        </is>
      </c>
      <c r="N15" s="25" t="inlineStr">
        <is>
          <t>same 365 h a month as the DBUs</t>
        </is>
      </c>
      <c r="O15" t="inlineStr">
        <is>
          <t>Prod</t>
        </is>
      </c>
    </row>
    <row r="16">
      <c r="A16" t="n">
        <v>12</v>
      </c>
      <c r="B16" t="inlineStr">
        <is>
          <t>Data lake (ADLS Gen2)</t>
        </is>
      </c>
      <c r="C16" t="inlineStr">
        <is>
          <t>Storage</t>
        </is>
      </c>
      <c r="D16" t="inlineStr">
        <is>
          <t>Hot GRS, hierarchical namespace</t>
        </is>
      </c>
      <c r="E16" t="inlineStr">
        <is>
          <t>1 GB/Month</t>
        </is>
      </c>
      <c r="F16" s="35" t="n">
        <v>0.0368</v>
      </c>
      <c r="G16" s="4" t="n">
        <v>2000</v>
      </c>
      <c r="H16" s="4" t="n">
        <v>1</v>
      </c>
      <c r="I16" s="14">
        <f>F16*G16*H16*FxRate</f>
        <v/>
      </c>
      <c r="J16" s="14">
        <f>I16*12/365</f>
        <v/>
      </c>
      <c r="K16" s="14">
        <f>I16*12</f>
        <v/>
      </c>
      <c r="L16" s="25" t="inlineStr">
        <is>
          <t>_bmad-output/specs/spec-corporate-portal-poc/stack.md Medallion: ADLS Gen2</t>
        </is>
      </c>
      <c r="M16" s="25" t="inlineStr">
        <is>
          <t>Azure Retail Prices API, Azure Data Lake Storage Gen2 Hierarchical Namespace / Hot GRS Data Stored, westus3, USD per 1 GB/Month, meterId 8b94aff2-e31b-5a24-8828-34951d2ced75, fetched 2026-09-30</t>
        </is>
      </c>
      <c r="N16" s="25" t="inlineStr">
        <is>
          <t>assumption: 2 TB medallion, geo-redundant (GRS pair); synthetic portfolio figure, owner request 2026-09-30</t>
        </is>
      </c>
      <c r="O16" t="inlineStr">
        <is>
          <t>Prod</t>
        </is>
      </c>
    </row>
    <row r="17">
      <c r="A17" t="n">
        <v>13</v>
      </c>
      <c r="B17" t="inlineStr">
        <is>
          <t>Key Vault operations</t>
        </is>
      </c>
      <c r="C17" t="inlineStr">
        <is>
          <t>Key Vault</t>
        </is>
      </c>
      <c r="D17" t="inlineStr">
        <is>
          <t>Standard</t>
        </is>
      </c>
      <c r="E17" t="inlineStr">
        <is>
          <t>10K</t>
        </is>
      </c>
      <c r="F17" s="35" t="n">
        <v>0.03</v>
      </c>
      <c r="G17" s="4" t="n">
        <v>300</v>
      </c>
      <c r="H17" s="4" t="n">
        <v>1</v>
      </c>
      <c r="I17" s="14">
        <f>F17*G17*H17*FxRate</f>
        <v/>
      </c>
      <c r="J17" s="14">
        <f>I17*12/365</f>
        <v/>
      </c>
      <c r="K17" s="14">
        <f>I17*12</f>
        <v/>
      </c>
      <c r="L17" s="25" t="inlineStr">
        <is>
          <t>_bmad-output/specs/spec-corporate-portal-poc/stack.md HashiCorp Vault for app secrets</t>
        </is>
      </c>
      <c r="M17" s="25" t="inlineStr">
        <is>
          <t>Azure Retail Prices API, Key Vault / Operations (Standard), westus3, USD per 10K, meterId 0f824807-2376-435c-95c9-f992b67a07b0, fetched 2026-09-30</t>
        </is>
      </c>
      <c r="N17" s="25" t="inlineStr">
        <is>
          <t>assumption: 3M operations a month; synthetic portfolio figure, owner request 2026-09-30</t>
        </is>
      </c>
      <c r="O17" t="inlineStr">
        <is>
          <t>Prod</t>
        </is>
      </c>
    </row>
    <row r="18">
      <c r="A18" t="n">
        <v>14</v>
      </c>
      <c r="B18" t="inlineStr">
        <is>
          <t>Front Door</t>
        </is>
      </c>
      <c r="C18" t="inlineStr">
        <is>
          <t>Azure Front Door Service</t>
        </is>
      </c>
      <c r="D18" t="inlineStr">
        <is>
          <t>Standard base fee</t>
        </is>
      </c>
      <c r="E18" t="inlineStr">
        <is>
          <t>1/Month</t>
        </is>
      </c>
      <c r="F18" s="35" t="n">
        <v>35</v>
      </c>
      <c r="G18" s="4" t="n">
        <v>1</v>
      </c>
      <c r="H18" s="4" t="n">
        <v>1</v>
      </c>
      <c r="I18" s="14">
        <f>F18*G18*H18*FxRate</f>
        <v/>
      </c>
      <c r="J18" s="14">
        <f>I18*12/365</f>
        <v/>
      </c>
      <c r="K18" s="14">
        <f>I18*12</f>
        <v/>
      </c>
      <c r="L18" s="25" t="inlineStr">
        <is>
          <t>_bmad-output/specs/spec-corporate-portal-poc/stack.md Front Door Standard</t>
        </is>
      </c>
      <c r="M18" s="25" t="inlineStr">
        <is>
          <t>Azure Retail Prices API, Azure Front Door / Standard Base Fees, Zone 1, USD per 1/Month, meterId 7e3eab72-0b95-5524-984a-d1697f73feee, fetched 2026-09-30</t>
        </is>
      </c>
      <c r="N18" s="25" t="inlineStr">
        <is>
          <t>origin per region with health probes</t>
        </is>
      </c>
      <c r="O18" t="inlineStr">
        <is>
          <t>Prod</t>
        </is>
      </c>
    </row>
    <row r="19">
      <c r="A19" t="n">
        <v>15</v>
      </c>
      <c r="B19" t="inlineStr">
        <is>
          <t>Front Door data transfer out</t>
        </is>
      </c>
      <c r="C19" t="inlineStr">
        <is>
          <t>Azure Front Door Service</t>
        </is>
      </c>
      <c r="D19" t="inlineStr">
        <is>
          <t>Standard data transfer out</t>
        </is>
      </c>
      <c r="E19" t="inlineStr">
        <is>
          <t>1 GB</t>
        </is>
      </c>
      <c r="F19" s="35" t="n">
        <v>0.0825</v>
      </c>
      <c r="G19" s="4" t="n">
        <v>1</v>
      </c>
      <c r="H19" s="4" t="n">
        <v>400</v>
      </c>
      <c r="I19" s="14">
        <f>F19*G19*H19*FxRate</f>
        <v/>
      </c>
      <c r="J19" s="14">
        <f>I19*12/365</f>
        <v/>
      </c>
      <c r="K19" s="14">
        <f>I19*12</f>
        <v/>
      </c>
      <c r="L19" s="25" t="inlineStr">
        <is>
          <t>_bmad-output/specs/spec-corporate-portal-poc/stack.md Front Door Standard</t>
        </is>
      </c>
      <c r="M19" s="25" t="inlineStr">
        <is>
          <t>Azure Retail Prices API, Azure Front Door / Standard Data Transfer Out, Zone 1, USD per 1 GB, meterId 79b4d346-f8f7-55fe-8375-5943ea4e697c, fetched 2026-09-30</t>
        </is>
      </c>
      <c r="N19" s="25" t="inlineStr">
        <is>
          <t>assumption: 400 GB a month to treasury users; synthetic portfolio figure, owner request 2026-09-30</t>
        </is>
      </c>
      <c r="O19" t="inlineStr">
        <is>
          <t>Prod</t>
        </is>
      </c>
    </row>
    <row r="20">
      <c r="A20" t="n">
        <v>16</v>
      </c>
      <c r="B20" t="inlineStr">
        <is>
          <t>Log Analytics ingestion</t>
        </is>
      </c>
      <c r="C20" t="inlineStr">
        <is>
          <t>Log Analytics</t>
        </is>
      </c>
      <c r="D20" t="inlineStr">
        <is>
          <t>Analytics Logs</t>
        </is>
      </c>
      <c r="E20" t="inlineStr">
        <is>
          <t>1 GB</t>
        </is>
      </c>
      <c r="F20" s="35" t="n">
        <v>2.3</v>
      </c>
      <c r="G20" s="4" t="n">
        <v>60</v>
      </c>
      <c r="H20" s="4" t="n">
        <v>1</v>
      </c>
      <c r="I20" s="14">
        <f>F20*G20*H20*FxRate</f>
        <v/>
      </c>
      <c r="J20" s="14">
        <f>I20*12/365</f>
        <v/>
      </c>
      <c r="K20" s="14">
        <f>I20*12</f>
        <v/>
      </c>
      <c r="L20" s="25" t="inlineStr">
        <is>
          <t>assumption: AKS, SQL, Front Door and audit diagnostics, ~60 GB a month billed; synthetic portfolio figure, owner request 2026-09-30</t>
        </is>
      </c>
      <c r="M20" s="25" t="inlineStr">
        <is>
          <t>Azure Retail Prices API, Log Analytics / Analytics Logs Data Ingestion (above the 5 GB free tier), westus3, USD per 1 GB, meterId ffbd06c0-e72e-42b6-b612-f03144b476df, fetched 2026-09-30</t>
        </is>
      </c>
      <c r="N20" s="25" t="inlineStr"/>
      <c r="O20" t="inlineStr">
        <is>
          <t>Prod</t>
        </is>
      </c>
    </row>
    <row r="21">
      <c r="A21" t="n">
        <v>17</v>
      </c>
      <c r="B21" t="inlineStr">
        <is>
          <t>Private endpoints</t>
        </is>
      </c>
      <c r="C21" t="inlineStr">
        <is>
          <t>Virtual Network</t>
        </is>
      </c>
      <c r="D21" t="inlineStr">
        <is>
          <t>Standard Private Endpoint</t>
        </is>
      </c>
      <c r="E21" t="inlineStr">
        <is>
          <t>1 Hour</t>
        </is>
      </c>
      <c r="F21" s="35" t="n">
        <v>0.01</v>
      </c>
      <c r="G21" s="4" t="n">
        <v>8</v>
      </c>
      <c r="H21" s="13">
        <f>HoursPerMonth</f>
        <v/>
      </c>
      <c r="I21" s="14">
        <f>F21*G21*H21*FxRate</f>
        <v/>
      </c>
      <c r="J21" s="14">
        <f>I21*12/365</f>
        <v/>
      </c>
      <c r="K21" s="14">
        <f>I21*12</f>
        <v/>
      </c>
      <c r="L21" s="25" t="inlineStr">
        <is>
          <t>_bmad-output/specs/spec-corporate-portal-poc/stack.md Private endpoints: ADLS, SQL, Key Vault and Event Hubs</t>
        </is>
      </c>
      <c r="M21" s="25" t="inlineStr">
        <is>
          <t>Azure Retail Prices API, Virtual Network Private Link / Standard Private Endpoint, Global, USD per 1 Hour, meterId e6ab7238-e433-4fe0-a2b2-2b2564df2cdb, fetched 2026-09-30</t>
        </is>
      </c>
      <c r="N21" s="25" t="inlineStr">
        <is>
          <t>8 endpoints (lake, SQL, Key Vault, Event Hubs per region)</t>
        </is>
      </c>
      <c r="O21" t="inlineStr">
        <is>
          <t>Prod</t>
        </is>
      </c>
    </row>
    <row r="22">
      <c r="A22" t="n">
        <v>18</v>
      </c>
      <c r="B22" t="inlineStr">
        <is>
          <t>Private endpoint data processed</t>
        </is>
      </c>
      <c r="C22" t="inlineStr">
        <is>
          <t>Virtual Network</t>
        </is>
      </c>
      <c r="D22" t="inlineStr">
        <is>
          <t>Private Link data processed</t>
        </is>
      </c>
      <c r="E22" t="inlineStr">
        <is>
          <t>1 GB</t>
        </is>
      </c>
      <c r="F22" s="35" t="n">
        <v>0.01</v>
      </c>
      <c r="G22" s="4" t="n">
        <v>1</v>
      </c>
      <c r="H22" s="4" t="n">
        <v>800</v>
      </c>
      <c r="I22" s="14">
        <f>F22*G22*H22*FxRate</f>
        <v/>
      </c>
      <c r="J22" s="14">
        <f>I22*12/365</f>
        <v/>
      </c>
      <c r="K22" s="14">
        <f>I22*12</f>
        <v/>
      </c>
      <c r="L22" s="25" t="inlineStr">
        <is>
          <t>_bmad-output/specs/spec-corporate-portal-poc/stack.md Private endpoints: ADLS, SQL, Key Vault and Event Hubs</t>
        </is>
      </c>
      <c r="M22" s="25" t="inlineStr">
        <is>
          <t>Azure Retail Prices API, Virtual Network Private Link / Standard Data Processed - Ingress, Global, USD per 1 GB, meterId 10caa28b-6479-4852-9eb7-610870cb6417, fetched 2026-09-30</t>
        </is>
      </c>
      <c r="N22" s="25" t="inlineStr">
        <is>
          <t>assumption: 800 GB a month through the private endpoints; synthetic portfolio figure, owner request 2026-09-30</t>
        </is>
      </c>
      <c r="O22" t="inlineStr">
        <is>
          <t>Prod</t>
        </is>
      </c>
    </row>
    <row r="23">
      <c r="A23" t="n">
        <v>19</v>
      </c>
      <c r="B23" t="inlineStr">
        <is>
          <t>Private DNS zones</t>
        </is>
      </c>
      <c r="C23" t="inlineStr">
        <is>
          <t>Azure DNS</t>
        </is>
      </c>
      <c r="D23" t="inlineStr">
        <is>
          <t>Private Zone</t>
        </is>
      </c>
      <c r="E23" t="inlineStr">
        <is>
          <t>1/Month</t>
        </is>
      </c>
      <c r="F23" s="35" t="n">
        <v>0.5</v>
      </c>
      <c r="G23" s="4" t="n">
        <v>4</v>
      </c>
      <c r="H23" s="4" t="n">
        <v>1</v>
      </c>
      <c r="I23" s="14">
        <f>F23*G23*H23*FxRate</f>
        <v/>
      </c>
      <c r="J23" s="14">
        <f>I23*12/365</f>
        <v/>
      </c>
      <c r="K23" s="14">
        <f>I23*12</f>
        <v/>
      </c>
      <c r="L23" s="25" t="inlineStr">
        <is>
          <t>_bmad-output/specs/spec-corporate-portal-poc/stack.md Private endpoints: ADLS, SQL, Key Vault and Event Hubs</t>
        </is>
      </c>
      <c r="M23" s="25" t="inlineStr">
        <is>
          <t>Azure Retail Prices API, Azure DNS / Private Zone, Zone 1, USD per 1, meterId 0b608a26-f611-4232-8192-ce81b6b57194, fetched 2026-09-30</t>
        </is>
      </c>
      <c r="N23" s="25" t="inlineStr">
        <is>
          <t>one zone per private-endpoint service</t>
        </is>
      </c>
      <c r="O23" t="inlineStr">
        <is>
          <t>Prod</t>
        </is>
      </c>
    </row>
    <row r="24">
      <c r="A24" t="n">
        <v>20</v>
      </c>
      <c r="B24" t="inlineStr">
        <is>
          <t>NAT gateway (Databricks egress)</t>
        </is>
      </c>
      <c r="C24" t="inlineStr">
        <is>
          <t>NAT Gateway</t>
        </is>
      </c>
      <c r="D24" t="inlineStr">
        <is>
          <t>Standard</t>
        </is>
      </c>
      <c r="E24" t="inlineStr">
        <is>
          <t>1 Hour</t>
        </is>
      </c>
      <c r="F24" s="35" t="n">
        <v>0.045</v>
      </c>
      <c r="G24" s="4" t="n">
        <v>1</v>
      </c>
      <c r="H24" s="13">
        <f>HoursPerMonth</f>
        <v/>
      </c>
      <c r="I24" s="14">
        <f>F24*G24*H24*FxRate</f>
        <v/>
      </c>
      <c r="J24" s="14">
        <f>I24*12/365</f>
        <v/>
      </c>
      <c r="K24" s="14">
        <f>I24*12</f>
        <v/>
      </c>
      <c r="L24" s="25" t="inlineStr">
        <is>
          <t>_bmad-output/specs/spec-corporate-portal-poc/stack.md VNet-injected with a NAT gateway</t>
        </is>
      </c>
      <c r="M24" s="25" t="inlineStr">
        <is>
          <t>Azure Retail Prices API, NAT Gateway / Standard Gateway, Global, USD per 1 Hour, meterId ae30040a-67f5-485b-b0f4-a6ef50504d9c, fetched 2026-09-30</t>
        </is>
      </c>
      <c r="N24" s="25" t="inlineStr"/>
      <c r="O24" t="inlineStr">
        <is>
          <t>Prod</t>
        </is>
      </c>
    </row>
    <row r="25">
      <c r="A25" t="n">
        <v>21</v>
      </c>
      <c r="B25" t="inlineStr">
        <is>
          <t>NAT gateway data processed</t>
        </is>
      </c>
      <c r="C25" t="inlineStr">
        <is>
          <t>NAT Gateway</t>
        </is>
      </c>
      <c r="D25" t="inlineStr">
        <is>
          <t>Standard data processed</t>
        </is>
      </c>
      <c r="E25" t="inlineStr">
        <is>
          <t>1 GB</t>
        </is>
      </c>
      <c r="F25" s="35" t="n">
        <v>0.045</v>
      </c>
      <c r="G25" s="4" t="n">
        <v>1</v>
      </c>
      <c r="H25" s="4" t="n">
        <v>300</v>
      </c>
      <c r="I25" s="14">
        <f>F25*G25*H25*FxRate</f>
        <v/>
      </c>
      <c r="J25" s="14">
        <f>I25*12/365</f>
        <v/>
      </c>
      <c r="K25" s="14">
        <f>I25*12</f>
        <v/>
      </c>
      <c r="L25" s="25" t="inlineStr">
        <is>
          <t>_bmad-output/specs/spec-corporate-portal-poc/stack.md VNet-injected with a NAT gateway</t>
        </is>
      </c>
      <c r="M25" s="25" t="inlineStr">
        <is>
          <t>Azure Retail Prices API, NAT Gateway / Standard Data Processed, Global, USD per 1 GB, meterId d32b6352-b66b-4c4c-8f21-60e94058e04d, fetched 2026-09-30</t>
        </is>
      </c>
      <c r="N25" s="25" t="inlineStr">
        <is>
          <t>assumption: 300 GB of Databricks egress a month; synthetic portfolio figure, owner request 2026-09-30</t>
        </is>
      </c>
      <c r="O25" t="inlineStr">
        <is>
          <t>Prod</t>
        </is>
      </c>
    </row>
    <row r="26">
      <c r="A26" t="n">
        <v>22</v>
      </c>
      <c r="B26" t="inlineStr">
        <is>
          <t>Kong ingress load balancer</t>
        </is>
      </c>
      <c r="C26" t="inlineStr">
        <is>
          <t>Load Balancer</t>
        </is>
      </c>
      <c r="D26" t="inlineStr">
        <is>
          <t>Standard</t>
        </is>
      </c>
      <c r="E26" t="inlineStr">
        <is>
          <t>1 Hour</t>
        </is>
      </c>
      <c r="F26" s="35" t="n">
        <v>0.025</v>
      </c>
      <c r="G26" s="4" t="n">
        <v>2</v>
      </c>
      <c r="H26" s="13">
        <f>HoursPerMonth</f>
        <v/>
      </c>
      <c r="I26" s="14">
        <f>F26*G26*H26*FxRate</f>
        <v/>
      </c>
      <c r="J26" s="14">
        <f>I26*12/365</f>
        <v/>
      </c>
      <c r="K26" s="14">
        <f>I26*12</f>
        <v/>
      </c>
      <c r="L26" s="25" t="inlineStr">
        <is>
          <t>_bmad-output/specs/spec-corporate-portal-poc/stack.md Kong OSS as the API gateway (ingress)</t>
        </is>
      </c>
      <c r="M26" s="25" t="inlineStr">
        <is>
          <t>Azure Retail Prices API, Load Balancer / Standard Included LB Rules and Outbound Rules, Global, USD per 1 Hour, meterId 27827eb0-7f60-4928-940b-f5fe15e7a4cb, fetched 2026-09-30</t>
        </is>
      </c>
      <c r="N26" s="25" t="inlineStr"/>
      <c r="O26" t="inlineStr">
        <is>
          <t>Prod</t>
        </is>
      </c>
    </row>
    <row r="27">
      <c r="A27" t="n">
        <v>23</v>
      </c>
      <c r="B27" t="inlineStr">
        <is>
          <t>Ingress public IPs</t>
        </is>
      </c>
      <c r="C27" t="inlineStr">
        <is>
          <t>Virtual Network</t>
        </is>
      </c>
      <c r="D27" t="inlineStr">
        <is>
          <t>Standard IPv4 static</t>
        </is>
      </c>
      <c r="E27" t="inlineStr">
        <is>
          <t>1 Hour</t>
        </is>
      </c>
      <c r="F27" s="35" t="n">
        <v>0.005</v>
      </c>
      <c r="G27" s="4" t="n">
        <v>3</v>
      </c>
      <c r="H27" s="13">
        <f>HoursPerMonth</f>
        <v/>
      </c>
      <c r="I27" s="14">
        <f>F27*G27*H27*FxRate</f>
        <v/>
      </c>
      <c r="J27" s="14">
        <f>I27*12/365</f>
        <v/>
      </c>
      <c r="K27" s="14">
        <f>I27*12</f>
        <v/>
      </c>
      <c r="L27" s="25" t="inlineStr">
        <is>
          <t>_bmad-output/specs/spec-corporate-portal-poc/stack.md Kong OSS as the API gateway (ingress)</t>
        </is>
      </c>
      <c r="M27" s="25" t="inlineStr">
        <is>
          <t>Azure Retail Prices API, IP Addresses / Standard IPv4 Static Public IP, westus3, USD per 1 Hour, meterId 9c150bf9-2bad-430e-a53c-c213804f49ef, fetched 2026-09-30</t>
        </is>
      </c>
      <c r="N27" s="25" t="inlineStr"/>
      <c r="O27" t="inlineStr">
        <is>
          <t>Prod</t>
        </is>
      </c>
    </row>
    <row r="28">
      <c r="F28" s="15" t="n"/>
      <c r="G28" s="15" t="n"/>
      <c r="H28" s="15" t="n"/>
      <c r="I28" s="14">
        <f>IF(F28="","",F28*G28*H28*FxRate)</f>
        <v/>
      </c>
      <c r="J28" s="14">
        <f>IF(I28="","",I28*12/365)</f>
        <v/>
      </c>
      <c r="K28" s="14">
        <f>IF(I28="","",I28*12)</f>
        <v/>
      </c>
      <c r="O28" t="inlineStr">
        <is>
          <t>Prod</t>
        </is>
      </c>
    </row>
    <row r="29">
      <c r="F29" s="15" t="n"/>
      <c r="G29" s="15" t="n"/>
      <c r="H29" s="15" t="n"/>
      <c r="I29" s="14">
        <f>IF(F29="","",F29*G29*H29*FxRate)</f>
        <v/>
      </c>
      <c r="J29" s="14">
        <f>IF(I29="","",I29*12/365)</f>
        <v/>
      </c>
      <c r="K29" s="14">
        <f>IF(I29="","",I29*12)</f>
        <v/>
      </c>
      <c r="O29" t="inlineStr">
        <is>
          <t>Prod</t>
        </is>
      </c>
    </row>
    <row r="30">
      <c r="F30" s="15" t="n"/>
      <c r="G30" s="15" t="n"/>
      <c r="H30" s="15" t="n"/>
      <c r="I30" s="14">
        <f>IF(F30="","",F30*G30*H30*FxRate)</f>
        <v/>
      </c>
      <c r="J30" s="14">
        <f>IF(I30="","",I30*12/365)</f>
        <v/>
      </c>
      <c r="K30" s="14">
        <f>IF(I30="","",I30*12)</f>
        <v/>
      </c>
      <c r="O30" t="inlineStr">
        <is>
          <t>Prod</t>
        </is>
      </c>
    </row>
    <row r="31">
      <c r="A31" s="16" t="inlineStr">
        <is>
          <t>Total</t>
        </is>
      </c>
      <c r="B31" s="16" t="n"/>
      <c r="C31" s="16" t="n"/>
      <c r="D31" s="16" t="n"/>
      <c r="E31" s="16" t="n"/>
      <c r="F31" s="16" t="n"/>
      <c r="G31" s="16" t="n"/>
      <c r="H31" s="16" t="n"/>
      <c r="I31" s="18">
        <f>SUM(I5:I30)</f>
        <v/>
      </c>
      <c r="J31" s="18">
        <f>SUM(J5:J30)</f>
        <v/>
      </c>
      <c r="K31" s="18">
        <f>SUM(K5:K30)</f>
        <v/>
      </c>
      <c r="L31" s="16" t="n"/>
      <c r="M31" s="16" t="n"/>
      <c r="N31" s="16" t="n"/>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4" customWidth="1" min="1" max="1"/>
    <col width="22" customWidth="1" min="2" max="2"/>
    <col width="12" customWidth="1" min="3" max="3"/>
    <col width="14" customWidth="1" min="4" max="4"/>
    <col width="14" customWidth="1" min="5" max="5"/>
    <col width="12" customWidth="1" min="6" max="6"/>
    <col width="12" customWidth="1" min="7" max="7"/>
  </cols>
  <sheetData>
    <row r="1">
      <c r="A1" s="1" t="inlineStr">
        <is>
          <t>Claude API list prices</t>
        </is>
      </c>
    </row>
    <row r="2">
      <c r="A2" t="inlineStr">
        <is>
          <t>USD per million tokens, from https://platform.claude.com/docs/en/about-claude/pricing, read 2026-09-28. Blue cells are inputs.</t>
        </is>
      </c>
    </row>
    <row r="4">
      <c r="A4" s="3" t="inlineStr">
        <is>
          <t>Pricing model</t>
        </is>
      </c>
      <c r="B4" s="3" t="inlineStr">
        <is>
          <t>Name</t>
        </is>
      </c>
      <c r="C4" s="3" t="inlineStr">
        <is>
          <t>Input</t>
        </is>
      </c>
      <c r="D4" s="3" t="inlineStr">
        <is>
          <t>Cache write 5m</t>
        </is>
      </c>
      <c r="E4" s="3" t="inlineStr">
        <is>
          <t>Cache write 1h</t>
        </is>
      </c>
      <c r="F4" s="3" t="inlineStr">
        <is>
          <t>Cache read</t>
        </is>
      </c>
      <c r="G4" s="3" t="inlineStr">
        <is>
          <t>Output</t>
        </is>
      </c>
    </row>
    <row r="5">
      <c r="A5" t="inlineStr">
        <is>
          <t>claude-fable-5</t>
        </is>
      </c>
      <c r="B5" t="inlineStr">
        <is>
          <t>Claude Fable 5</t>
        </is>
      </c>
      <c r="C5" s="27" t="n">
        <v>10</v>
      </c>
      <c r="D5" s="27" t="n">
        <v>12.5</v>
      </c>
      <c r="E5" s="27" t="n">
        <v>20</v>
      </c>
      <c r="F5" s="27" t="n">
        <v>1</v>
      </c>
      <c r="G5" s="27" t="n">
        <v>50</v>
      </c>
    </row>
    <row r="6">
      <c r="A6" t="inlineStr">
        <is>
          <t>claude-fable-5-1</t>
        </is>
      </c>
      <c r="B6" t="inlineStr">
        <is>
          <t>Claude Fable 5.1</t>
        </is>
      </c>
      <c r="C6" s="27" t="n">
        <v>10</v>
      </c>
      <c r="D6" s="27" t="n">
        <v>12.5</v>
      </c>
      <c r="E6" s="27" t="n">
        <v>20</v>
      </c>
      <c r="F6" s="27" t="n">
        <v>0.25</v>
      </c>
      <c r="G6" s="27" t="n">
        <v>50</v>
      </c>
    </row>
    <row r="7">
      <c r="A7" t="inlineStr">
        <is>
          <t>claude-haiku-3-5</t>
        </is>
      </c>
      <c r="B7" t="inlineStr">
        <is>
          <t>Claude Haiku 3.5</t>
        </is>
      </c>
      <c r="C7" s="27" t="n">
        <v>0.8</v>
      </c>
      <c r="D7" s="27" t="n">
        <v>1</v>
      </c>
      <c r="E7" s="27" t="n">
        <v>1.6</v>
      </c>
      <c r="F7" s="27" t="n">
        <v>0.08</v>
      </c>
      <c r="G7" s="27" t="n">
        <v>4</v>
      </c>
    </row>
    <row r="8">
      <c r="A8" t="inlineStr">
        <is>
          <t>claude-haiku-4-5</t>
        </is>
      </c>
      <c r="B8" t="inlineStr">
        <is>
          <t>Claude Haiku 4.5</t>
        </is>
      </c>
      <c r="C8" s="27" t="n">
        <v>1</v>
      </c>
      <c r="D8" s="27" t="n">
        <v>1.25</v>
      </c>
      <c r="E8" s="27" t="n">
        <v>2</v>
      </c>
      <c r="F8" s="27" t="n">
        <v>0.1</v>
      </c>
      <c r="G8" s="27" t="n">
        <v>5</v>
      </c>
    </row>
    <row r="9">
      <c r="A9" t="inlineStr">
        <is>
          <t>claude-mythos-5</t>
        </is>
      </c>
      <c r="B9" t="inlineStr">
        <is>
          <t>Claude Mythos 5</t>
        </is>
      </c>
      <c r="C9" s="27" t="n">
        <v>10</v>
      </c>
      <c r="D9" s="27" t="n">
        <v>12.5</v>
      </c>
      <c r="E9" s="27" t="n">
        <v>20</v>
      </c>
      <c r="F9" s="27" t="n">
        <v>1</v>
      </c>
      <c r="G9" s="27" t="n">
        <v>50</v>
      </c>
    </row>
    <row r="10">
      <c r="A10" t="inlineStr">
        <is>
          <t>claude-mythos-5-1</t>
        </is>
      </c>
      <c r="B10" t="inlineStr">
        <is>
          <t>Claude Mythos 5.1</t>
        </is>
      </c>
      <c r="C10" s="27" t="n">
        <v>10</v>
      </c>
      <c r="D10" s="27" t="n">
        <v>12.5</v>
      </c>
      <c r="E10" s="27" t="n">
        <v>20</v>
      </c>
      <c r="F10" s="27" t="n">
        <v>0.25</v>
      </c>
      <c r="G10" s="27" t="n">
        <v>50</v>
      </c>
    </row>
    <row r="11">
      <c r="A11" t="inlineStr">
        <is>
          <t>claude-opus-4</t>
        </is>
      </c>
      <c r="B11" t="inlineStr">
        <is>
          <t>Claude Opus 4</t>
        </is>
      </c>
      <c r="C11" s="27" t="n">
        <v>15</v>
      </c>
      <c r="D11" s="27" t="n">
        <v>18.75</v>
      </c>
      <c r="E11" s="27" t="n">
        <v>30</v>
      </c>
      <c r="F11" s="27" t="n">
        <v>1.5</v>
      </c>
      <c r="G11" s="27" t="n">
        <v>75</v>
      </c>
    </row>
    <row r="12">
      <c r="A12" t="inlineStr">
        <is>
          <t>claude-opus-4-1</t>
        </is>
      </c>
      <c r="B12" t="inlineStr">
        <is>
          <t>Claude Opus 4.1</t>
        </is>
      </c>
      <c r="C12" s="27" t="n">
        <v>15</v>
      </c>
      <c r="D12" s="27" t="n">
        <v>18.75</v>
      </c>
      <c r="E12" s="27" t="n">
        <v>30</v>
      </c>
      <c r="F12" s="27" t="n">
        <v>1.5</v>
      </c>
      <c r="G12" s="27" t="n">
        <v>75</v>
      </c>
    </row>
    <row r="13">
      <c r="A13" t="inlineStr">
        <is>
          <t>claude-opus-4-5</t>
        </is>
      </c>
      <c r="B13" t="inlineStr">
        <is>
          <t>Claude Opus 4.5</t>
        </is>
      </c>
      <c r="C13" s="27" t="n">
        <v>5</v>
      </c>
      <c r="D13" s="27" t="n">
        <v>6.25</v>
      </c>
      <c r="E13" s="27" t="n">
        <v>10</v>
      </c>
      <c r="F13" s="27" t="n">
        <v>0.5</v>
      </c>
      <c r="G13" s="27" t="n">
        <v>25</v>
      </c>
    </row>
    <row r="14">
      <c r="A14" t="inlineStr">
        <is>
          <t>claude-opus-4-6</t>
        </is>
      </c>
      <c r="B14" t="inlineStr">
        <is>
          <t>Claude Opus 4.6</t>
        </is>
      </c>
      <c r="C14" s="27" t="n">
        <v>5</v>
      </c>
      <c r="D14" s="27" t="n">
        <v>6.25</v>
      </c>
      <c r="E14" s="27" t="n">
        <v>10</v>
      </c>
      <c r="F14" s="27" t="n">
        <v>0.5</v>
      </c>
      <c r="G14" s="27" t="n">
        <v>25</v>
      </c>
    </row>
    <row r="15">
      <c r="A15" t="inlineStr">
        <is>
          <t>claude-opus-4-7</t>
        </is>
      </c>
      <c r="B15" t="inlineStr">
        <is>
          <t>Claude Opus 4.7</t>
        </is>
      </c>
      <c r="C15" s="27" t="n">
        <v>5</v>
      </c>
      <c r="D15" s="27" t="n">
        <v>6.25</v>
      </c>
      <c r="E15" s="27" t="n">
        <v>10</v>
      </c>
      <c r="F15" s="27" t="n">
        <v>0.5</v>
      </c>
      <c r="G15" s="27" t="n">
        <v>25</v>
      </c>
    </row>
    <row r="16">
      <c r="A16" t="inlineStr">
        <is>
          <t>claude-opus-4-8</t>
        </is>
      </c>
      <c r="B16" t="inlineStr">
        <is>
          <t>Claude Opus 4.8</t>
        </is>
      </c>
      <c r="C16" s="27" t="n">
        <v>5</v>
      </c>
      <c r="D16" s="27" t="n">
        <v>6.25</v>
      </c>
      <c r="E16" s="27" t="n">
        <v>10</v>
      </c>
      <c r="F16" s="27" t="n">
        <v>0.5</v>
      </c>
      <c r="G16" s="27" t="n">
        <v>25</v>
      </c>
    </row>
    <row r="17">
      <c r="A17" t="inlineStr">
        <is>
          <t>claude-opus-5</t>
        </is>
      </c>
      <c r="B17" t="inlineStr">
        <is>
          <t>Claude Opus 5</t>
        </is>
      </c>
      <c r="C17" s="27" t="n">
        <v>5</v>
      </c>
      <c r="D17" s="27" t="n">
        <v>6.25</v>
      </c>
      <c r="E17" s="27" t="n">
        <v>10</v>
      </c>
      <c r="F17" s="27" t="n">
        <v>0.5</v>
      </c>
      <c r="G17" s="27" t="n">
        <v>25</v>
      </c>
    </row>
    <row r="18">
      <c r="A18" t="inlineStr">
        <is>
          <t>claude-opus-5-5</t>
        </is>
      </c>
      <c r="B18" t="inlineStr">
        <is>
          <t>Claude Opus 5.5</t>
        </is>
      </c>
      <c r="C18" s="27" t="n">
        <v>4</v>
      </c>
      <c r="D18" s="27" t="n">
        <v>5</v>
      </c>
      <c r="E18" s="27" t="n">
        <v>8</v>
      </c>
      <c r="F18" s="27" t="n">
        <v>0.2</v>
      </c>
      <c r="G18" s="27" t="n">
        <v>20</v>
      </c>
    </row>
    <row r="19">
      <c r="A19" t="inlineStr">
        <is>
          <t>claude-sonnet-4</t>
        </is>
      </c>
      <c r="B19" t="inlineStr">
        <is>
          <t>Claude Sonnet 4</t>
        </is>
      </c>
      <c r="C19" s="27" t="n">
        <v>3</v>
      </c>
      <c r="D19" s="27" t="n">
        <v>3.75</v>
      </c>
      <c r="E19" s="27" t="n">
        <v>6</v>
      </c>
      <c r="F19" s="27" t="n">
        <v>0.3</v>
      </c>
      <c r="G19" s="27" t="n">
        <v>15</v>
      </c>
    </row>
    <row r="20">
      <c r="A20" t="inlineStr">
        <is>
          <t>claude-sonnet-4-5</t>
        </is>
      </c>
      <c r="B20" t="inlineStr">
        <is>
          <t>Claude Sonnet 4.5</t>
        </is>
      </c>
      <c r="C20" s="27" t="n">
        <v>3</v>
      </c>
      <c r="D20" s="27" t="n">
        <v>3.75</v>
      </c>
      <c r="E20" s="27" t="n">
        <v>6</v>
      </c>
      <c r="F20" s="27" t="n">
        <v>0.3</v>
      </c>
      <c r="G20" s="27" t="n">
        <v>15</v>
      </c>
    </row>
    <row r="21">
      <c r="A21" t="inlineStr">
        <is>
          <t>claude-sonnet-4-6</t>
        </is>
      </c>
      <c r="B21" t="inlineStr">
        <is>
          <t>Claude Sonnet 4.6</t>
        </is>
      </c>
      <c r="C21" s="27" t="n">
        <v>3</v>
      </c>
      <c r="D21" s="27" t="n">
        <v>3.75</v>
      </c>
      <c r="E21" s="27" t="n">
        <v>6</v>
      </c>
      <c r="F21" s="27" t="n">
        <v>0.3</v>
      </c>
      <c r="G21" s="27" t="n">
        <v>15</v>
      </c>
    </row>
    <row r="22">
      <c r="A22" t="inlineStr">
        <is>
          <t>claude-sonnet-5</t>
        </is>
      </c>
      <c r="B22" t="inlineStr">
        <is>
          <t>Claude Sonnet 5</t>
        </is>
      </c>
      <c r="C22" s="27" t="n">
        <v>2</v>
      </c>
      <c r="D22" s="27" t="n">
        <v>2.5</v>
      </c>
      <c r="E22" s="27" t="n">
        <v>4</v>
      </c>
      <c r="F22" s="27" t="n">
        <v>0.2</v>
      </c>
      <c r="G22" s="27" t="n">
        <v>10</v>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8" customWidth="1" min="1" max="1"/>
    <col width="10" customWidth="1" min="2" max="2"/>
    <col width="14" customWidth="1" min="3" max="3"/>
    <col width="16" customWidth="1" min="4" max="4"/>
    <col width="16" customWidth="1" min="5" max="5"/>
    <col width="16" customWidth="1" min="6" max="6"/>
    <col width="14" customWidth="1" min="7" max="7"/>
    <col width="14" customWidth="1" min="8" max="8"/>
    <col width="14" customWidth="1" min="9" max="9"/>
  </cols>
  <sheetData>
    <row r="1">
      <c r="A1" s="1" t="inlineStr">
        <is>
          <t>Claude API usage</t>
        </is>
      </c>
    </row>
    <row r="2">
      <c r="A2" t="inlineStr">
        <is>
          <t>API calls and tokens counted from this project's Claude Code logs, costed at Claude API list prices. On a Pro, Max, Team or Enterprise subscription the bill is per seat: this is the API-equivalent cost.</t>
        </is>
      </c>
    </row>
    <row r="4">
      <c r="A4" s="3" t="inlineStr">
        <is>
          <t>Model</t>
        </is>
      </c>
      <c r="B4" s="3" t="inlineStr">
        <is>
          <t>Calls</t>
        </is>
      </c>
      <c r="C4" s="3" t="inlineStr">
        <is>
          <t>Input tokens</t>
        </is>
      </c>
      <c r="D4" s="3" t="inlineStr">
        <is>
          <t>Cache write 5m tokens</t>
        </is>
      </c>
      <c r="E4" s="3" t="inlineStr">
        <is>
          <t>Cache write 1h tokens</t>
        </is>
      </c>
      <c r="F4" s="3" t="inlineStr">
        <is>
          <t>Cache read tokens</t>
        </is>
      </c>
      <c r="G4" s="3" t="inlineStr">
        <is>
          <t>Output tokens</t>
        </is>
      </c>
      <c r="H4" s="3" t="inlineStr">
        <is>
          <t>Cost (USD)</t>
        </is>
      </c>
      <c r="I4" s="3" t="inlineStr">
        <is>
          <t>Cost (USD)</t>
        </is>
      </c>
    </row>
    <row r="5">
      <c r="A5" t="inlineStr">
        <is>
          <t>claude-opus-5-5</t>
        </is>
      </c>
      <c r="B5" s="36">
        <f>SUMIFS('Claude Usage Detail'!$I$5:$I$43,'Claude Usage Detail'!$E$5:$E$43,"="&amp;$A5)</f>
        <v/>
      </c>
      <c r="C5" s="36">
        <f>SUMIFS('Claude Usage Detail'!$J$5:$J$43,'Claude Usage Detail'!$E$5:$E$43,"="&amp;$A5)</f>
        <v/>
      </c>
      <c r="D5" s="36">
        <f>SUMIFS('Claude Usage Detail'!$K$5:$K$43,'Claude Usage Detail'!$E$5:$E$43,"="&amp;$A5)</f>
        <v/>
      </c>
      <c r="E5" s="36">
        <f>SUMIFS('Claude Usage Detail'!$L$5:$L$43,'Claude Usage Detail'!$E$5:$E$43,"="&amp;$A5)</f>
        <v/>
      </c>
      <c r="F5" s="36">
        <f>SUMIFS('Claude Usage Detail'!$M$5:$M$43,'Claude Usage Detail'!$E$5:$E$43,"="&amp;$A5)</f>
        <v/>
      </c>
      <c r="G5" s="36">
        <f>SUMIFS('Claude Usage Detail'!$N$5:$N$43,'Claude Usage Detail'!$E$5:$E$43,"="&amp;$A5)</f>
        <v/>
      </c>
      <c r="H5" s="14">
        <f>SUMIFS('Claude Usage Detail'!$O$5:$O$43,'Claude Usage Detail'!$E$5:$E$43,"="&amp;$A5)</f>
        <v/>
      </c>
      <c r="I5" s="14">
        <f>SUMIFS('Claude Usage Detail'!$P$5:$P$43,'Claude Usage Detail'!$E$5:$E$43,"="&amp;$A5)</f>
        <v/>
      </c>
    </row>
    <row r="6">
      <c r="A6" s="16" t="inlineStr">
        <is>
          <t>Total</t>
        </is>
      </c>
      <c r="B6" s="37">
        <f>SUM(B5:B5)</f>
        <v/>
      </c>
      <c r="C6" s="37">
        <f>SUM(C5:C5)</f>
        <v/>
      </c>
      <c r="D6" s="37">
        <f>SUM(D5:D5)</f>
        <v/>
      </c>
      <c r="E6" s="37">
        <f>SUM(E5:E5)</f>
        <v/>
      </c>
      <c r="F6" s="37">
        <f>SUM(F5:F5)</f>
        <v/>
      </c>
      <c r="G6" s="37">
        <f>SUM(G5:G5)</f>
        <v/>
      </c>
      <c r="H6" s="18">
        <f>SUM(H5:H5)</f>
        <v/>
      </c>
      <c r="I6" s="18">
        <f>SUM(I5:I5)</f>
        <v/>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Q43"/>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9" customWidth="1" min="3" max="3"/>
    <col width="30" customWidth="1" min="4" max="4"/>
    <col width="26" customWidth="1" min="5" max="5"/>
    <col width="22" customWidth="1" min="6" max="6"/>
    <col width="17" customWidth="1" min="7" max="7"/>
    <col width="17" customWidth="1" min="8" max="8"/>
    <col width="9" customWidth="1" min="9" max="9"/>
    <col width="14" customWidth="1" min="10" max="10"/>
    <col width="14" customWidth="1" min="11" max="11"/>
    <col width="14" customWidth="1" min="12" max="12"/>
    <col width="16" customWidth="1" min="13" max="13"/>
    <col width="14" customWidth="1" min="14" max="14"/>
    <col width="14" customWidth="1" min="15" max="15"/>
    <col width="14" customWidth="1" min="16" max="16"/>
    <col width="18" customWidth="1" min="17" max="17"/>
  </cols>
  <sheetData>
    <row r="1">
      <c r="A1" s="1" t="inlineStr">
        <is>
          <t>Claude API calls by work item and model</t>
        </is>
      </c>
    </row>
    <row r="2">
      <c r="A2" t="inlineStr">
        <is>
          <t>From the token ledger (claude_usage.csv). Cost = tokens x the Claude Prices sheet; models with no price cost 0.</t>
        </is>
      </c>
    </row>
    <row r="4">
      <c r="A4" s="3" t="inlineStr">
        <is>
          <t>Kind</t>
        </is>
      </c>
      <c r="B4" s="3" t="inlineStr">
        <is>
          <t>Work item</t>
        </is>
      </c>
      <c r="C4" s="3" t="inlineStr">
        <is>
          <t>Story no</t>
        </is>
      </c>
      <c r="D4" s="3" t="inlineStr">
        <is>
          <t>Title</t>
        </is>
      </c>
      <c r="E4" s="3" t="inlineStr">
        <is>
          <t>Model</t>
        </is>
      </c>
      <c r="F4" s="3" t="inlineStr">
        <is>
          <t>Pricing model</t>
        </is>
      </c>
      <c r="G4" s="3" t="inlineStr">
        <is>
          <t>First call</t>
        </is>
      </c>
      <c r="H4" s="3" t="inlineStr">
        <is>
          <t>Last call</t>
        </is>
      </c>
      <c r="I4" s="3" t="inlineStr">
        <is>
          <t>Calls</t>
        </is>
      </c>
      <c r="J4" s="3" t="inlineStr">
        <is>
          <t>Input tokens</t>
        </is>
      </c>
      <c r="K4" s="3" t="inlineStr">
        <is>
          <t>Cache write 5m tokens</t>
        </is>
      </c>
      <c r="L4" s="3" t="inlineStr">
        <is>
          <t>Cache write 1h tokens</t>
        </is>
      </c>
      <c r="M4" s="3" t="inlineStr">
        <is>
          <t>Cache read tokens</t>
        </is>
      </c>
      <c r="N4" s="3" t="inlineStr">
        <is>
          <t>Output tokens</t>
        </is>
      </c>
      <c r="O4" s="3" t="inlineStr">
        <is>
          <t>Cost (USD)</t>
        </is>
      </c>
      <c r="P4" s="3" t="inlineStr">
        <is>
          <t>Cost (USD)</t>
        </is>
      </c>
      <c r="Q4" s="3" t="inlineStr">
        <is>
          <t>Person</t>
        </is>
      </c>
    </row>
    <row r="5">
      <c r="A5" t="inlineStr">
        <is>
          <t>planning</t>
        </is>
      </c>
      <c r="B5" t="inlineStr">
        <is>
          <t>brainstorming</t>
        </is>
      </c>
      <c r="C5" t="inlineStr"/>
      <c r="D5" t="inlineStr"/>
      <c r="E5" t="inlineStr">
        <is>
          <t>claude-opus-5-5</t>
        </is>
      </c>
      <c r="F5" t="inlineStr">
        <is>
          <t>claude-opus-5-5</t>
        </is>
      </c>
      <c r="G5" s="38" t="n">
        <v>46230.08988039352</v>
      </c>
      <c r="H5" s="38" t="n">
        <v>46231.29505263889</v>
      </c>
      <c r="I5" s="36" t="n">
        <v>249</v>
      </c>
      <c r="J5" s="36" t="n">
        <v>1336</v>
      </c>
      <c r="K5" s="36" t="n">
        <v>787578</v>
      </c>
      <c r="L5" s="36" t="n">
        <v>95552</v>
      </c>
      <c r="M5" s="36" t="n">
        <v>36378953</v>
      </c>
      <c r="N5" s="36" t="n">
        <v>218823</v>
      </c>
      <c r="O5" s="14">
        <f>IFERROR((J5*VLOOKUP($F5,'Claude Prices'!$A$5:$G$22,3,FALSE)+K5*VLOOKUP($F5,'Claude Prices'!$A$5:$G$22,4,FALSE)+L5*VLOOKUP($F5,'Claude Prices'!$A$5:$G$22,5,FALSE)+M5*VLOOKUP($F5,'Claude Prices'!$A$5:$G$22,6,FALSE)+N5*VLOOKUP($F5,'Claude Prices'!$A$5:$G$22,7,FALSE))/1000000,0)</f>
        <v/>
      </c>
      <c r="P5" s="14">
        <f>O5*ClaudeFxRate</f>
        <v/>
      </c>
      <c r="Q5" t="inlineStr"/>
    </row>
    <row r="6">
      <c r="A6" t="inlineStr">
        <is>
          <t>planning</t>
        </is>
      </c>
      <c r="B6" t="inlineStr">
        <is>
          <t>spec</t>
        </is>
      </c>
      <c r="C6" t="inlineStr"/>
      <c r="D6" t="inlineStr"/>
      <c r="E6" t="inlineStr">
        <is>
          <t>claude-opus-5-5</t>
        </is>
      </c>
      <c r="F6" t="inlineStr">
        <is>
          <t>claude-opus-5-5</t>
        </is>
      </c>
      <c r="G6" s="38" t="n">
        <v>46232.0580678125</v>
      </c>
      <c r="H6" s="38" t="n">
        <v>46238.33478523148</v>
      </c>
      <c r="I6" s="36" t="n">
        <v>505</v>
      </c>
      <c r="J6" s="36" t="n">
        <v>3349</v>
      </c>
      <c r="K6" s="36" t="n">
        <v>1631310</v>
      </c>
      <c r="L6" s="36" t="n">
        <v>199573</v>
      </c>
      <c r="M6" s="36" t="n">
        <v>76363270</v>
      </c>
      <c r="N6" s="36" t="n">
        <v>428416</v>
      </c>
      <c r="O6" s="14">
        <f>IFERROR((J6*VLOOKUP($F6,'Claude Prices'!$A$5:$G$22,3,FALSE)+K6*VLOOKUP($F6,'Claude Prices'!$A$5:$G$22,4,FALSE)+L6*VLOOKUP($F6,'Claude Prices'!$A$5:$G$22,5,FALSE)+M6*VLOOKUP($F6,'Claude Prices'!$A$5:$G$22,6,FALSE)+N6*VLOOKUP($F6,'Claude Prices'!$A$5:$G$22,7,FALSE))/1000000,0)</f>
        <v/>
      </c>
      <c r="P6" s="14">
        <f>O6*ClaudeFxRate</f>
        <v/>
      </c>
      <c r="Q6" t="inlineStr"/>
    </row>
    <row r="7">
      <c r="A7" t="inlineStr">
        <is>
          <t>planning</t>
        </is>
      </c>
      <c r="B7" t="inlineStr">
        <is>
          <t>architecture</t>
        </is>
      </c>
      <c r="C7" t="inlineStr"/>
      <c r="D7" t="inlineStr"/>
      <c r="E7" t="inlineStr">
        <is>
          <t>claude-opus-5-5</t>
        </is>
      </c>
      <c r="F7" t="inlineStr">
        <is>
          <t>claude-opus-5-5</t>
        </is>
      </c>
      <c r="G7" s="38" t="n">
        <v>46239.08628578704</v>
      </c>
      <c r="H7" s="38" t="n">
        <v>46248.41935855324</v>
      </c>
      <c r="I7" s="36" t="n">
        <v>918</v>
      </c>
      <c r="J7" s="36" t="n">
        <v>5391</v>
      </c>
      <c r="K7" s="36" t="n">
        <v>2910859</v>
      </c>
      <c r="L7" s="36" t="n">
        <v>327068</v>
      </c>
      <c r="M7" s="36" t="n">
        <v>136162160</v>
      </c>
      <c r="N7" s="36" t="n">
        <v>787929</v>
      </c>
      <c r="O7" s="14">
        <f>IFERROR((J7*VLOOKUP($F7,'Claude Prices'!$A$5:$G$22,3,FALSE)+K7*VLOOKUP($F7,'Claude Prices'!$A$5:$G$22,4,FALSE)+L7*VLOOKUP($F7,'Claude Prices'!$A$5:$G$22,5,FALSE)+M7*VLOOKUP($F7,'Claude Prices'!$A$5:$G$22,6,FALSE)+N7*VLOOKUP($F7,'Claude Prices'!$A$5:$G$22,7,FALSE))/1000000,0)</f>
        <v/>
      </c>
      <c r="P7" s="14">
        <f>O7*ClaudeFxRate</f>
        <v/>
      </c>
      <c r="Q7" t="inlineStr"/>
    </row>
    <row r="8">
      <c r="A8" t="inlineStr">
        <is>
          <t>planning</t>
        </is>
      </c>
      <c r="B8" t="inlineStr">
        <is>
          <t>UX design</t>
        </is>
      </c>
      <c r="C8" t="inlineStr"/>
      <c r="D8" t="inlineStr"/>
      <c r="E8" t="inlineStr">
        <is>
          <t>claude-opus-5-5</t>
        </is>
      </c>
      <c r="F8" t="inlineStr">
        <is>
          <t>claude-opus-5-5</t>
        </is>
      </c>
      <c r="G8" s="38" t="n">
        <v>46244.05185928241</v>
      </c>
      <c r="H8" s="38" t="n">
        <v>46253.31709960648</v>
      </c>
      <c r="I8" s="36" t="n">
        <v>710</v>
      </c>
      <c r="J8" s="36" t="n">
        <v>4186</v>
      </c>
      <c r="K8" s="36" t="n">
        <v>2374598</v>
      </c>
      <c r="L8" s="36" t="n">
        <v>265445</v>
      </c>
      <c r="M8" s="36" t="n">
        <v>109983933</v>
      </c>
      <c r="N8" s="36" t="n">
        <v>665082</v>
      </c>
      <c r="O8" s="14">
        <f>IFERROR((J8*VLOOKUP($F8,'Claude Prices'!$A$5:$G$22,3,FALSE)+K8*VLOOKUP($F8,'Claude Prices'!$A$5:$G$22,4,FALSE)+L8*VLOOKUP($F8,'Claude Prices'!$A$5:$G$22,5,FALSE)+M8*VLOOKUP($F8,'Claude Prices'!$A$5:$G$22,6,FALSE)+N8*VLOOKUP($F8,'Claude Prices'!$A$5:$G$22,7,FALSE))/1000000,0)</f>
        <v/>
      </c>
      <c r="P8" s="14">
        <f>O8*ClaudeFxRate</f>
        <v/>
      </c>
      <c r="Q8" t="inlineStr"/>
    </row>
    <row r="9">
      <c r="A9" t="inlineStr">
        <is>
          <t>planning</t>
        </is>
      </c>
      <c r="B9" t="inlineStr">
        <is>
          <t>governance (Jules)</t>
        </is>
      </c>
      <c r="C9" t="inlineStr"/>
      <c r="D9" t="inlineStr"/>
      <c r="E9" t="inlineStr">
        <is>
          <t>claude-opus-5-5</t>
        </is>
      </c>
      <c r="F9" t="inlineStr">
        <is>
          <t>claude-opus-5-5</t>
        </is>
      </c>
      <c r="G9" s="38" t="n">
        <v>46251.05141863426</v>
      </c>
      <c r="H9" s="38" t="n">
        <v>46255.34613596065</v>
      </c>
      <c r="I9" s="36" t="n">
        <v>373</v>
      </c>
      <c r="J9" s="36" t="n">
        <v>1921</v>
      </c>
      <c r="K9" s="36" t="n">
        <v>1096280</v>
      </c>
      <c r="L9" s="36" t="n">
        <v>117012</v>
      </c>
      <c r="M9" s="36" t="n">
        <v>52904915</v>
      </c>
      <c r="N9" s="36" t="n">
        <v>313479</v>
      </c>
      <c r="O9" s="14">
        <f>IFERROR((J9*VLOOKUP($F9,'Claude Prices'!$A$5:$G$22,3,FALSE)+K9*VLOOKUP($F9,'Claude Prices'!$A$5:$G$22,4,FALSE)+L9*VLOOKUP($F9,'Claude Prices'!$A$5:$G$22,5,FALSE)+M9*VLOOKUP($F9,'Claude Prices'!$A$5:$G$22,6,FALSE)+N9*VLOOKUP($F9,'Claude Prices'!$A$5:$G$22,7,FALSE))/1000000,0)</f>
        <v/>
      </c>
      <c r="P9" s="14">
        <f>O9*ClaudeFxRate</f>
        <v/>
      </c>
      <c r="Q9" t="inlineStr"/>
    </row>
    <row r="10">
      <c r="A10" t="inlineStr">
        <is>
          <t>planning</t>
        </is>
      </c>
      <c r="B10" t="inlineStr">
        <is>
          <t>architecture docs (Da Vinci)</t>
        </is>
      </c>
      <c r="C10" t="inlineStr"/>
      <c r="D10" t="inlineStr"/>
      <c r="E10" t="inlineStr">
        <is>
          <t>claude-opus-5-5</t>
        </is>
      </c>
      <c r="F10" t="inlineStr">
        <is>
          <t>claude-opus-5-5</t>
        </is>
      </c>
      <c r="G10" s="38" t="n">
        <v>46252.13028142361</v>
      </c>
      <c r="H10" s="38" t="n">
        <v>46258.337935</v>
      </c>
      <c r="I10" s="36" t="n">
        <v>369</v>
      </c>
      <c r="J10" s="36" t="n">
        <v>2304</v>
      </c>
      <c r="K10" s="36" t="n">
        <v>1246510</v>
      </c>
      <c r="L10" s="36" t="n">
        <v>137111</v>
      </c>
      <c r="M10" s="36" t="n">
        <v>56652932</v>
      </c>
      <c r="N10" s="36" t="n">
        <v>337590</v>
      </c>
      <c r="O10" s="14">
        <f>IFERROR((J10*VLOOKUP($F10,'Claude Prices'!$A$5:$G$22,3,FALSE)+K10*VLOOKUP($F10,'Claude Prices'!$A$5:$G$22,4,FALSE)+L10*VLOOKUP($F10,'Claude Prices'!$A$5:$G$22,5,FALSE)+M10*VLOOKUP($F10,'Claude Prices'!$A$5:$G$22,6,FALSE)+N10*VLOOKUP($F10,'Claude Prices'!$A$5:$G$22,7,FALSE))/1000000,0)</f>
        <v/>
      </c>
      <c r="P10" s="14">
        <f>O10*ClaudeFxRate</f>
        <v/>
      </c>
      <c r="Q10" t="inlineStr"/>
    </row>
    <row r="11">
      <c r="A11" t="inlineStr">
        <is>
          <t>planning</t>
        </is>
      </c>
      <c r="B11" t="inlineStr">
        <is>
          <t>epics &amp; stories</t>
        </is>
      </c>
      <c r="C11" t="inlineStr"/>
      <c r="D11" t="inlineStr"/>
      <c r="E11" t="inlineStr">
        <is>
          <t>claude-opus-5-5</t>
        </is>
      </c>
      <c r="F11" t="inlineStr">
        <is>
          <t>claude-opus-5-5</t>
        </is>
      </c>
      <c r="G11" s="38" t="n">
        <v>46258.13360068287</v>
      </c>
      <c r="H11" s="38" t="n">
        <v>46261.31670871528</v>
      </c>
      <c r="I11" s="36" t="n">
        <v>589</v>
      </c>
      <c r="J11" s="36" t="n">
        <v>3648</v>
      </c>
      <c r="K11" s="36" t="n">
        <v>1836552</v>
      </c>
      <c r="L11" s="36" t="n">
        <v>215131</v>
      </c>
      <c r="M11" s="36" t="n">
        <v>87107660</v>
      </c>
      <c r="N11" s="36" t="n">
        <v>509632</v>
      </c>
      <c r="O11" s="14">
        <f>IFERROR((J11*VLOOKUP($F11,'Claude Prices'!$A$5:$G$22,3,FALSE)+K11*VLOOKUP($F11,'Claude Prices'!$A$5:$G$22,4,FALSE)+L11*VLOOKUP($F11,'Claude Prices'!$A$5:$G$22,5,FALSE)+M11*VLOOKUP($F11,'Claude Prices'!$A$5:$G$22,6,FALSE)+N11*VLOOKUP($F11,'Claude Prices'!$A$5:$G$22,7,FALSE))/1000000,0)</f>
        <v/>
      </c>
      <c r="P11" s="14">
        <f>O11*ClaudeFxRate</f>
        <v/>
      </c>
      <c r="Q11" t="inlineStr"/>
    </row>
    <row r="12">
      <c r="A12" t="inlineStr">
        <is>
          <t>ops</t>
        </is>
      </c>
      <c r="B12" t="inlineStr">
        <is>
          <t>merges, promotions &amp; deploys</t>
        </is>
      </c>
      <c r="C12" t="inlineStr"/>
      <c r="D12" t="inlineStr"/>
      <c r="E12" t="inlineStr">
        <is>
          <t>claude-opus-5-5</t>
        </is>
      </c>
      <c r="F12" t="inlineStr">
        <is>
          <t>claude-opus-5-5</t>
        </is>
      </c>
      <c r="G12" s="38" t="n">
        <v>46266.06369842593</v>
      </c>
      <c r="H12" s="38" t="n">
        <v>46295.45093143518</v>
      </c>
      <c r="I12" s="36" t="n">
        <v>232</v>
      </c>
      <c r="J12" s="36" t="n">
        <v>1372</v>
      </c>
      <c r="K12" s="36" t="n">
        <v>749462</v>
      </c>
      <c r="L12" s="36" t="n">
        <v>86220</v>
      </c>
      <c r="M12" s="36" t="n">
        <v>34632999</v>
      </c>
      <c r="N12" s="36" t="n">
        <v>200750</v>
      </c>
      <c r="O12" s="14">
        <f>IFERROR((J12*VLOOKUP($F12,'Claude Prices'!$A$5:$G$22,3,FALSE)+K12*VLOOKUP($F12,'Claude Prices'!$A$5:$G$22,4,FALSE)+L12*VLOOKUP($F12,'Claude Prices'!$A$5:$G$22,5,FALSE)+M12*VLOOKUP($F12,'Claude Prices'!$A$5:$G$22,6,FALSE)+N12*VLOOKUP($F12,'Claude Prices'!$A$5:$G$22,7,FALSE))/1000000,0)</f>
        <v/>
      </c>
      <c r="P12" s="14">
        <f>O12*ClaudeFxRate</f>
        <v/>
      </c>
      <c r="Q12" t="inlineStr"/>
    </row>
    <row r="13">
      <c r="A13" t="inlineStr">
        <is>
          <t>story</t>
        </is>
      </c>
      <c r="B13" t="inlineStr">
        <is>
          <t>PORTAL-101</t>
        </is>
      </c>
      <c r="C13" t="inlineStr">
        <is>
          <t>1.1</t>
        </is>
      </c>
      <c r="D13" t="inlineStr">
        <is>
          <t>Terraform resource groups and least-privilege Jenkins identity</t>
        </is>
      </c>
      <c r="E13" t="inlineStr">
        <is>
          <t>claude-opus-5-5</t>
        </is>
      </c>
      <c r="F13" t="inlineStr">
        <is>
          <t>claude-opus-5-5</t>
        </is>
      </c>
      <c r="G13" s="38" t="n">
        <v>46265.16631215277</v>
      </c>
      <c r="H13" s="38" t="n">
        <v>46267.3859975</v>
      </c>
      <c r="I13" s="36" t="n">
        <v>166</v>
      </c>
      <c r="J13" s="36" t="n">
        <v>1018</v>
      </c>
      <c r="K13" s="36" t="n">
        <v>536117</v>
      </c>
      <c r="L13" s="36" t="n">
        <v>57656</v>
      </c>
      <c r="M13" s="36" t="n">
        <v>24669393</v>
      </c>
      <c r="N13" s="36" t="n">
        <v>150718</v>
      </c>
      <c r="O13" s="14">
        <f>IFERROR((J13*VLOOKUP($F13,'Claude Prices'!$A$5:$G$22,3,FALSE)+K13*VLOOKUP($F13,'Claude Prices'!$A$5:$G$22,4,FALSE)+L13*VLOOKUP($F13,'Claude Prices'!$A$5:$G$22,5,FALSE)+M13*VLOOKUP($F13,'Claude Prices'!$A$5:$G$22,6,FALSE)+N13*VLOOKUP($F13,'Claude Prices'!$A$5:$G$22,7,FALSE))/1000000,0)</f>
        <v/>
      </c>
      <c r="P13" s="14">
        <f>O13*ClaudeFxRate</f>
        <v/>
      </c>
      <c r="Q13" t="inlineStr"/>
    </row>
    <row r="14">
      <c r="A14" t="inlineStr">
        <is>
          <t>story</t>
        </is>
      </c>
      <c r="B14" t="inlineStr">
        <is>
          <t>PORTAL-102</t>
        </is>
      </c>
      <c r="C14" t="inlineStr">
        <is>
          <t>1.2</t>
        </is>
      </c>
      <c r="D14" t="inlineStr">
        <is>
          <t>AKS with Node Auto Provisioning, Istio mTLS STRICT and Kong ingress</t>
        </is>
      </c>
      <c r="E14" t="inlineStr">
        <is>
          <t>claude-opus-5-5</t>
        </is>
      </c>
      <c r="F14" t="inlineStr">
        <is>
          <t>claude-opus-5-5</t>
        </is>
      </c>
      <c r="G14" s="38" t="n">
        <v>46267.15920234954</v>
      </c>
      <c r="H14" s="38" t="n">
        <v>46272.39828583333</v>
      </c>
      <c r="I14" s="36" t="n">
        <v>239</v>
      </c>
      <c r="J14" s="36" t="n">
        <v>1468</v>
      </c>
      <c r="K14" s="36" t="n">
        <v>776411</v>
      </c>
      <c r="L14" s="36" t="n">
        <v>83287</v>
      </c>
      <c r="M14" s="36" t="n">
        <v>35269220</v>
      </c>
      <c r="N14" s="36" t="n">
        <v>210812</v>
      </c>
      <c r="O14" s="14">
        <f>IFERROR((J14*VLOOKUP($F14,'Claude Prices'!$A$5:$G$22,3,FALSE)+K14*VLOOKUP($F14,'Claude Prices'!$A$5:$G$22,4,FALSE)+L14*VLOOKUP($F14,'Claude Prices'!$A$5:$G$22,5,FALSE)+M14*VLOOKUP($F14,'Claude Prices'!$A$5:$G$22,6,FALSE)+N14*VLOOKUP($F14,'Claude Prices'!$A$5:$G$22,7,FALSE))/1000000,0)</f>
        <v/>
      </c>
      <c r="P14" s="14">
        <f>O14*ClaudeFxRate</f>
        <v/>
      </c>
      <c r="Q14" t="inlineStr"/>
    </row>
    <row r="15">
      <c r="A15" t="inlineStr">
        <is>
          <t>story</t>
        </is>
      </c>
      <c r="B15" t="inlineStr">
        <is>
          <t>PORTAL-103</t>
        </is>
      </c>
      <c r="C15" t="inlineStr">
        <is>
          <t>1.3</t>
        </is>
      </c>
      <c r="D15" t="inlineStr">
        <is>
          <t>Vault with Key Vault auto-unseal and secret-free services</t>
        </is>
      </c>
      <c r="E15" t="inlineStr">
        <is>
          <t>claude-opus-5-5</t>
        </is>
      </c>
      <c r="F15" t="inlineStr">
        <is>
          <t>claude-opus-5-5</t>
        </is>
      </c>
      <c r="G15" s="38" t="n">
        <v>46272.11560525463</v>
      </c>
      <c r="H15" s="38" t="n">
        <v>46274.29690310185</v>
      </c>
      <c r="I15" s="36" t="n">
        <v>167</v>
      </c>
      <c r="J15" s="36" t="n">
        <v>955</v>
      </c>
      <c r="K15" s="36" t="n">
        <v>539529</v>
      </c>
      <c r="L15" s="36" t="n">
        <v>61593</v>
      </c>
      <c r="M15" s="36" t="n">
        <v>24192178</v>
      </c>
      <c r="N15" s="36" t="n">
        <v>144011</v>
      </c>
      <c r="O15" s="14">
        <f>IFERROR((J15*VLOOKUP($F15,'Claude Prices'!$A$5:$G$22,3,FALSE)+K15*VLOOKUP($F15,'Claude Prices'!$A$5:$G$22,4,FALSE)+L15*VLOOKUP($F15,'Claude Prices'!$A$5:$G$22,5,FALSE)+M15*VLOOKUP($F15,'Claude Prices'!$A$5:$G$22,6,FALSE)+N15*VLOOKUP($F15,'Claude Prices'!$A$5:$G$22,7,FALSE))/1000000,0)</f>
        <v/>
      </c>
      <c r="P15" s="14">
        <f>O15*ClaudeFxRate</f>
        <v/>
      </c>
      <c r="Q15" t="inlineStr"/>
    </row>
    <row r="16">
      <c r="A16" t="inlineStr">
        <is>
          <t>story</t>
        </is>
      </c>
      <c r="B16" t="inlineStr">
        <is>
          <t>PORTAL-104</t>
        </is>
      </c>
      <c r="C16" t="inlineStr">
        <is>
          <t>1.4</t>
        </is>
      </c>
      <c r="D16" t="inlineStr">
        <is>
          <t>Parallel microservice image builds with Kaniko on Jenkins agents</t>
        </is>
      </c>
      <c r="E16" t="inlineStr">
        <is>
          <t>claude-opus-5-5</t>
        </is>
      </c>
      <c r="F16" t="inlineStr">
        <is>
          <t>claude-opus-5-5</t>
        </is>
      </c>
      <c r="G16" s="38" t="n">
        <v>46274.07524484954</v>
      </c>
      <c r="H16" s="38" t="n">
        <v>46276.43475677083</v>
      </c>
      <c r="I16" s="36" t="n">
        <v>139</v>
      </c>
      <c r="J16" s="36" t="n">
        <v>707</v>
      </c>
      <c r="K16" s="36" t="n">
        <v>410579</v>
      </c>
      <c r="L16" s="36" t="n">
        <v>48939</v>
      </c>
      <c r="M16" s="36" t="n">
        <v>19516467</v>
      </c>
      <c r="N16" s="36" t="n">
        <v>113978</v>
      </c>
      <c r="O16" s="14">
        <f>IFERROR((J16*VLOOKUP($F16,'Claude Prices'!$A$5:$G$22,3,FALSE)+K16*VLOOKUP($F16,'Claude Prices'!$A$5:$G$22,4,FALSE)+L16*VLOOKUP($F16,'Claude Prices'!$A$5:$G$22,5,FALSE)+M16*VLOOKUP($F16,'Claude Prices'!$A$5:$G$22,6,FALSE)+N16*VLOOKUP($F16,'Claude Prices'!$A$5:$G$22,7,FALSE))/1000000,0)</f>
        <v/>
      </c>
      <c r="P16" s="14">
        <f>O16*ClaudeFxRate</f>
        <v/>
      </c>
      <c r="Q16" t="inlineStr"/>
    </row>
    <row r="17">
      <c r="A17" t="inlineStr">
        <is>
          <t>story</t>
        </is>
      </c>
      <c r="B17" t="inlineStr">
        <is>
          <t>PORTAL-105</t>
        </is>
      </c>
      <c r="C17" t="inlineStr">
        <is>
          <t>1.5</t>
        </is>
      </c>
      <c r="D17" t="inlineStr">
        <is>
          <t>Private endpoints and private DNS for lake, SQL, Key Vault and Event Hubs</t>
        </is>
      </c>
      <c r="E17" t="inlineStr">
        <is>
          <t>claude-opus-5-5</t>
        </is>
      </c>
      <c r="F17" t="inlineStr">
        <is>
          <t>claude-opus-5-5</t>
        </is>
      </c>
      <c r="G17" s="38" t="n">
        <v>46276.12833994213</v>
      </c>
      <c r="H17" s="38" t="n">
        <v>46280.39009673611</v>
      </c>
      <c r="I17" s="36" t="n">
        <v>140</v>
      </c>
      <c r="J17" s="36" t="n">
        <v>807</v>
      </c>
      <c r="K17" s="36" t="n">
        <v>440612</v>
      </c>
      <c r="L17" s="36" t="n">
        <v>50735</v>
      </c>
      <c r="M17" s="36" t="n">
        <v>20726280</v>
      </c>
      <c r="N17" s="36" t="n">
        <v>125262</v>
      </c>
      <c r="O17" s="14">
        <f>IFERROR((J17*VLOOKUP($F17,'Claude Prices'!$A$5:$G$22,3,FALSE)+K17*VLOOKUP($F17,'Claude Prices'!$A$5:$G$22,4,FALSE)+L17*VLOOKUP($F17,'Claude Prices'!$A$5:$G$22,5,FALSE)+M17*VLOOKUP($F17,'Claude Prices'!$A$5:$G$22,6,FALSE)+N17*VLOOKUP($F17,'Claude Prices'!$A$5:$G$22,7,FALSE))/1000000,0)</f>
        <v/>
      </c>
      <c r="P17" s="14">
        <f>O17*ClaudeFxRate</f>
        <v/>
      </c>
      <c r="Q17" t="inlineStr"/>
    </row>
    <row r="18">
      <c r="A18" t="inlineStr">
        <is>
          <t>story</t>
        </is>
      </c>
      <c r="B18" t="inlineStr">
        <is>
          <t>PORTAL-106</t>
        </is>
      </c>
      <c r="C18" t="inlineStr">
        <is>
          <t>1.6</t>
        </is>
      </c>
      <c r="D18" t="inlineStr">
        <is>
          <t>Cost guardrails: Databricks cluster policy and clean terraform destroy</t>
        </is>
      </c>
      <c r="E18" t="inlineStr">
        <is>
          <t>claude-opus-5-5</t>
        </is>
      </c>
      <c r="F18" t="inlineStr">
        <is>
          <t>claude-opus-5-5</t>
        </is>
      </c>
      <c r="G18" s="38" t="n">
        <v>46280.14696546296</v>
      </c>
      <c r="H18" s="38" t="n">
        <v>46281.42005896991</v>
      </c>
      <c r="I18" s="36" t="n">
        <v>82</v>
      </c>
      <c r="J18" s="36" t="n">
        <v>482</v>
      </c>
      <c r="K18" s="36" t="n">
        <v>228197</v>
      </c>
      <c r="L18" s="36" t="n">
        <v>25853</v>
      </c>
      <c r="M18" s="36" t="n">
        <v>11039650</v>
      </c>
      <c r="N18" s="36" t="n">
        <v>63317</v>
      </c>
      <c r="O18" s="14">
        <f>IFERROR((J18*VLOOKUP($F18,'Claude Prices'!$A$5:$G$22,3,FALSE)+K18*VLOOKUP($F18,'Claude Prices'!$A$5:$G$22,4,FALSE)+L18*VLOOKUP($F18,'Claude Prices'!$A$5:$G$22,5,FALSE)+M18*VLOOKUP($F18,'Claude Prices'!$A$5:$G$22,6,FALSE)+N18*VLOOKUP($F18,'Claude Prices'!$A$5:$G$22,7,FALSE))/1000000,0)</f>
        <v/>
      </c>
      <c r="P18" s="14">
        <f>O18*ClaudeFxRate</f>
        <v/>
      </c>
      <c r="Q18" t="inlineStr"/>
    </row>
    <row r="19">
      <c r="A19" t="inlineStr">
        <is>
          <t>story</t>
        </is>
      </c>
      <c r="B19" t="inlineStr">
        <is>
          <t>PORTAL-107</t>
        </is>
      </c>
      <c r="C19" t="inlineStr">
        <is>
          <t>2.1</t>
        </is>
      </c>
      <c r="D19" t="inlineStr">
        <is>
          <t>Entra External ID sign-in and company-scoped sessions</t>
        </is>
      </c>
      <c r="E19" t="inlineStr">
        <is>
          <t>claude-opus-5-5</t>
        </is>
      </c>
      <c r="F19" t="inlineStr">
        <is>
          <t>claude-opus-5-5</t>
        </is>
      </c>
      <c r="G19" s="38" t="n">
        <v>46282.10468379629</v>
      </c>
      <c r="H19" s="38" t="n">
        <v>46286.29429071759</v>
      </c>
      <c r="I19" s="36" t="n">
        <v>190</v>
      </c>
      <c r="J19" s="36" t="n">
        <v>1278</v>
      </c>
      <c r="K19" s="36" t="n">
        <v>583772</v>
      </c>
      <c r="L19" s="36" t="n">
        <v>70755</v>
      </c>
      <c r="M19" s="36" t="n">
        <v>28911877</v>
      </c>
      <c r="N19" s="36" t="n">
        <v>169841</v>
      </c>
      <c r="O19" s="14">
        <f>IFERROR((J19*VLOOKUP($F19,'Claude Prices'!$A$5:$G$22,3,FALSE)+K19*VLOOKUP($F19,'Claude Prices'!$A$5:$G$22,4,FALSE)+L19*VLOOKUP($F19,'Claude Prices'!$A$5:$G$22,5,FALSE)+M19*VLOOKUP($F19,'Claude Prices'!$A$5:$G$22,6,FALSE)+N19*VLOOKUP($F19,'Claude Prices'!$A$5:$G$22,7,FALSE))/1000000,0)</f>
        <v/>
      </c>
      <c r="P19" s="14">
        <f>O19*ClaudeFxRate</f>
        <v/>
      </c>
      <c r="Q19" t="inlineStr"/>
    </row>
    <row r="20">
      <c r="A20" t="inlineStr">
        <is>
          <t>story</t>
        </is>
      </c>
      <c r="B20" t="inlineStr">
        <is>
          <t>PORTAL-108</t>
        </is>
      </c>
      <c r="C20" t="inlineStr">
        <is>
          <t>2.2</t>
        </is>
      </c>
      <c r="D20" t="inlineStr">
        <is>
          <t>Row-level security for company isolation with blocked-access logging</t>
        </is>
      </c>
      <c r="E20" t="inlineStr">
        <is>
          <t>claude-opus-5-5</t>
        </is>
      </c>
      <c r="F20" t="inlineStr">
        <is>
          <t>claude-opus-5-5</t>
        </is>
      </c>
      <c r="G20" s="38" t="n">
        <v>46286.11223028935</v>
      </c>
      <c r="H20" s="38" t="n">
        <v>46289.42969207176</v>
      </c>
      <c r="I20" s="36" t="n">
        <v>178</v>
      </c>
      <c r="J20" s="36" t="n">
        <v>1089</v>
      </c>
      <c r="K20" s="36" t="n">
        <v>528592</v>
      </c>
      <c r="L20" s="36" t="n">
        <v>60471</v>
      </c>
      <c r="M20" s="36" t="n">
        <v>24548767</v>
      </c>
      <c r="N20" s="36" t="n">
        <v>157378</v>
      </c>
      <c r="O20" s="14">
        <f>IFERROR((J20*VLOOKUP($F20,'Claude Prices'!$A$5:$G$22,3,FALSE)+K20*VLOOKUP($F20,'Claude Prices'!$A$5:$G$22,4,FALSE)+L20*VLOOKUP($F20,'Claude Prices'!$A$5:$G$22,5,FALSE)+M20*VLOOKUP($F20,'Claude Prices'!$A$5:$G$22,6,FALSE)+N20*VLOOKUP($F20,'Claude Prices'!$A$5:$G$22,7,FALSE))/1000000,0)</f>
        <v/>
      </c>
      <c r="P20" s="14">
        <f>O20*ClaudeFxRate</f>
        <v/>
      </c>
      <c r="Q20" t="inlineStr"/>
    </row>
    <row r="21">
      <c r="A21" t="inlineStr">
        <is>
          <t>story</t>
        </is>
      </c>
      <c r="B21" t="inlineStr">
        <is>
          <t>PORTAL-109</t>
        </is>
      </c>
      <c r="C21" t="inlineStr">
        <is>
          <t>2.3</t>
        </is>
      </c>
      <c r="D21" t="inlineStr">
        <is>
          <t>Cash position and liquidity dashboard from the serving schema</t>
        </is>
      </c>
      <c r="E21" t="inlineStr">
        <is>
          <t>claude-opus-5-5</t>
        </is>
      </c>
      <c r="F21" t="inlineStr">
        <is>
          <t>claude-opus-5-5</t>
        </is>
      </c>
      <c r="G21" s="38" t="n">
        <v>46289.14030049768</v>
      </c>
      <c r="H21" s="38" t="n">
        <v>46293.43206741898</v>
      </c>
      <c r="I21" s="36" t="n">
        <v>148</v>
      </c>
      <c r="J21" s="36" t="n">
        <v>918</v>
      </c>
      <c r="K21" s="36" t="n">
        <v>463868</v>
      </c>
      <c r="L21" s="36" t="n">
        <v>49052</v>
      </c>
      <c r="M21" s="36" t="n">
        <v>22147665</v>
      </c>
      <c r="N21" s="36" t="n">
        <v>136099</v>
      </c>
      <c r="O21" s="14">
        <f>IFERROR((J21*VLOOKUP($F21,'Claude Prices'!$A$5:$G$22,3,FALSE)+K21*VLOOKUP($F21,'Claude Prices'!$A$5:$G$22,4,FALSE)+L21*VLOOKUP($F21,'Claude Prices'!$A$5:$G$22,5,FALSE)+M21*VLOOKUP($F21,'Claude Prices'!$A$5:$G$22,6,FALSE)+N21*VLOOKUP($F21,'Claude Prices'!$A$5:$G$22,7,FALSE))/1000000,0)</f>
        <v/>
      </c>
      <c r="P21" s="14">
        <f>O21*ClaudeFxRate</f>
        <v/>
      </c>
      <c r="Q21" t="inlineStr"/>
    </row>
    <row r="22">
      <c r="A22" t="inlineStr">
        <is>
          <t>story</t>
        </is>
      </c>
      <c r="B22" t="inlineStr">
        <is>
          <t>PORTAL-110</t>
        </is>
      </c>
      <c r="C22" t="inlineStr">
        <is>
          <t>2.4</t>
        </is>
      </c>
      <c r="D22" t="inlineStr">
        <is>
          <t>Accounts, balances and transactions</t>
        </is>
      </c>
      <c r="E22" t="inlineStr">
        <is>
          <t>claude-opus-5-5</t>
        </is>
      </c>
      <c r="F22" t="inlineStr">
        <is>
          <t>claude-opus-5-5</t>
        </is>
      </c>
      <c r="G22" s="38" t="n">
        <v>46293.06323174768</v>
      </c>
      <c r="H22" s="38" t="n">
        <v>46295.38110246528</v>
      </c>
      <c r="I22" s="36" t="n">
        <v>90</v>
      </c>
      <c r="J22" s="36" t="n">
        <v>499</v>
      </c>
      <c r="K22" s="36" t="n">
        <v>290789</v>
      </c>
      <c r="L22" s="36" t="n">
        <v>34375</v>
      </c>
      <c r="M22" s="36" t="n">
        <v>14033359</v>
      </c>
      <c r="N22" s="36" t="n">
        <v>79685</v>
      </c>
      <c r="O22" s="14">
        <f>IFERROR((J22*VLOOKUP($F22,'Claude Prices'!$A$5:$G$22,3,FALSE)+K22*VLOOKUP($F22,'Claude Prices'!$A$5:$G$22,4,FALSE)+L22*VLOOKUP($F22,'Claude Prices'!$A$5:$G$22,5,FALSE)+M22*VLOOKUP($F22,'Claude Prices'!$A$5:$G$22,6,FALSE)+N22*VLOOKUP($F22,'Claude Prices'!$A$5:$G$22,7,FALSE))/1000000,0)</f>
        <v/>
      </c>
      <c r="P22" s="14">
        <f>O22*ClaudeFxRate</f>
        <v/>
      </c>
      <c r="Q22" t="inlineStr"/>
    </row>
    <row r="23">
      <c r="A23" t="inlineStr">
        <is>
          <t>story</t>
        </is>
      </c>
      <c r="B23" t="inlineStr">
        <is>
          <t>PORTAL-111</t>
        </is>
      </c>
      <c r="C23" t="inlineStr">
        <is>
          <t>2.5</t>
        </is>
      </c>
      <c r="D23" t="inlineStr">
        <is>
          <t>Payment creation with maker-checker approval and execution</t>
        </is>
      </c>
      <c r="E23" t="inlineStr">
        <is>
          <t>claude-opus-5-5</t>
        </is>
      </c>
      <c r="F23" t="inlineStr">
        <is>
          <t>claude-opus-5-5</t>
        </is>
      </c>
      <c r="G23" s="38" t="n">
        <v>46259.10137606481</v>
      </c>
      <c r="H23" s="38" t="n">
        <v>46259.42025994213</v>
      </c>
      <c r="I23" s="36" t="n">
        <v>20</v>
      </c>
      <c r="J23" s="36" t="n">
        <v>90</v>
      </c>
      <c r="K23" s="36" t="n">
        <v>57544</v>
      </c>
      <c r="L23" s="36" t="n">
        <v>6553</v>
      </c>
      <c r="M23" s="36" t="n">
        <v>2710803</v>
      </c>
      <c r="N23" s="36" t="n">
        <v>14873</v>
      </c>
      <c r="O23" s="14">
        <f>IFERROR((J23*VLOOKUP($F23,'Claude Prices'!$A$5:$G$22,3,FALSE)+K23*VLOOKUP($F23,'Claude Prices'!$A$5:$G$22,4,FALSE)+L23*VLOOKUP($F23,'Claude Prices'!$A$5:$G$22,5,FALSE)+M23*VLOOKUP($F23,'Claude Prices'!$A$5:$G$22,6,FALSE)+N23*VLOOKUP($F23,'Claude Prices'!$A$5:$G$22,7,FALSE))/1000000,0)</f>
        <v/>
      </c>
      <c r="P23" s="14">
        <f>O23*ClaudeFxRate</f>
        <v/>
      </c>
      <c r="Q23" t="inlineStr"/>
    </row>
    <row r="24">
      <c r="A24" t="inlineStr">
        <is>
          <t>story</t>
        </is>
      </c>
      <c r="B24" t="inlineStr">
        <is>
          <t>PORTAL-112</t>
        </is>
      </c>
      <c r="C24" t="inlineStr">
        <is>
          <t>2.6</t>
        </is>
      </c>
      <c r="D24" t="inlineStr">
        <is>
          <t>Portal chrome: region badge, synthetic-data banner and error states</t>
        </is>
      </c>
      <c r="E24" t="inlineStr">
        <is>
          <t>claude-opus-5-5</t>
        </is>
      </c>
      <c r="F24" t="inlineStr">
        <is>
          <t>claude-opus-5-5</t>
        </is>
      </c>
      <c r="G24" s="38" t="n">
        <v>46261.10784611111</v>
      </c>
      <c r="H24" s="38" t="n">
        <v>46261.36976717593</v>
      </c>
      <c r="I24" s="36" t="n">
        <v>16</v>
      </c>
      <c r="J24" s="36" t="n">
        <v>79</v>
      </c>
      <c r="K24" s="36" t="n">
        <v>51347</v>
      </c>
      <c r="L24" s="36" t="n">
        <v>4158</v>
      </c>
      <c r="M24" s="36" t="n">
        <v>2238077</v>
      </c>
      <c r="N24" s="36" t="n">
        <v>14180</v>
      </c>
      <c r="O24" s="14">
        <f>IFERROR((J24*VLOOKUP($F24,'Claude Prices'!$A$5:$G$22,3,FALSE)+K24*VLOOKUP($F24,'Claude Prices'!$A$5:$G$22,4,FALSE)+L24*VLOOKUP($F24,'Claude Prices'!$A$5:$G$22,5,FALSE)+M24*VLOOKUP($F24,'Claude Prices'!$A$5:$G$22,6,FALSE)+N24*VLOOKUP($F24,'Claude Prices'!$A$5:$G$22,7,FALSE))/1000000,0)</f>
        <v/>
      </c>
      <c r="P24" s="14">
        <f>O24*ClaudeFxRate</f>
        <v/>
      </c>
      <c r="Q24" t="inlineStr"/>
    </row>
    <row r="25">
      <c r="A25" t="inlineStr">
        <is>
          <t>story</t>
        </is>
      </c>
      <c r="B25" t="inlineStr">
        <is>
          <t>PORTAL-113</t>
        </is>
      </c>
      <c r="C25" t="inlineStr">
        <is>
          <t>3.1</t>
        </is>
      </c>
      <c r="D25" t="inlineStr">
        <is>
          <t>Seeded synthetic world: companies, payroll cycles, suppliers and planted anomalies</t>
        </is>
      </c>
      <c r="E25" t="inlineStr">
        <is>
          <t>claude-opus-5-5</t>
        </is>
      </c>
      <c r="F25" t="inlineStr">
        <is>
          <t>claude-opus-5-5</t>
        </is>
      </c>
      <c r="G25" s="38" t="n">
        <v>46261.13733130787</v>
      </c>
      <c r="H25" s="38" t="n">
        <v>46261.40551376157</v>
      </c>
      <c r="I25" s="36" t="n">
        <v>19</v>
      </c>
      <c r="J25" s="36" t="n">
        <v>109</v>
      </c>
      <c r="K25" s="36" t="n">
        <v>58655</v>
      </c>
      <c r="L25" s="36" t="n">
        <v>5445</v>
      </c>
      <c r="M25" s="36" t="n">
        <v>2606398</v>
      </c>
      <c r="N25" s="36" t="n">
        <v>16111</v>
      </c>
      <c r="O25" s="14">
        <f>IFERROR((J25*VLOOKUP($F25,'Claude Prices'!$A$5:$G$22,3,FALSE)+K25*VLOOKUP($F25,'Claude Prices'!$A$5:$G$22,4,FALSE)+L25*VLOOKUP($F25,'Claude Prices'!$A$5:$G$22,5,FALSE)+M25*VLOOKUP($F25,'Claude Prices'!$A$5:$G$22,6,FALSE)+N25*VLOOKUP($F25,'Claude Prices'!$A$5:$G$22,7,FALSE))/1000000,0)</f>
        <v/>
      </c>
      <c r="P25" s="14">
        <f>O25*ClaudeFxRate</f>
        <v/>
      </c>
      <c r="Q25" t="inlineStr"/>
    </row>
    <row r="26">
      <c r="A26" t="inlineStr">
        <is>
          <t>story</t>
        </is>
      </c>
      <c r="B26" t="inlineStr">
        <is>
          <t>PORTAL-114</t>
        </is>
      </c>
      <c r="C26" t="inlineStr">
        <is>
          <t>3.2</t>
        </is>
      </c>
      <c r="D26" t="inlineStr">
        <is>
          <t>Outbox relay from the SQL ledger to Event Hubs</t>
        </is>
      </c>
      <c r="E26" t="inlineStr">
        <is>
          <t>claude-opus-5-5</t>
        </is>
      </c>
      <c r="F26" t="inlineStr">
        <is>
          <t>claude-opus-5-5</t>
        </is>
      </c>
      <c r="G26" s="38" t="n">
        <v>46259.04797662037</v>
      </c>
      <c r="H26" s="38" t="n">
        <v>46259.3435444213</v>
      </c>
      <c r="I26" s="36" t="n">
        <v>10</v>
      </c>
      <c r="J26" s="36" t="n">
        <v>72</v>
      </c>
      <c r="K26" s="36" t="n">
        <v>31119</v>
      </c>
      <c r="L26" s="36" t="n">
        <v>3700</v>
      </c>
      <c r="M26" s="36" t="n">
        <v>1374125</v>
      </c>
      <c r="N26" s="36" t="n">
        <v>8714</v>
      </c>
      <c r="O26" s="14">
        <f>IFERROR((J26*VLOOKUP($F26,'Claude Prices'!$A$5:$G$22,3,FALSE)+K26*VLOOKUP($F26,'Claude Prices'!$A$5:$G$22,4,FALSE)+L26*VLOOKUP($F26,'Claude Prices'!$A$5:$G$22,5,FALSE)+M26*VLOOKUP($F26,'Claude Prices'!$A$5:$G$22,6,FALSE)+N26*VLOOKUP($F26,'Claude Prices'!$A$5:$G$22,7,FALSE))/1000000,0)</f>
        <v/>
      </c>
      <c r="P26" s="14">
        <f>O26*ClaudeFxRate</f>
        <v/>
      </c>
      <c r="Q26" t="inlineStr"/>
    </row>
    <row r="27">
      <c r="A27" t="inlineStr">
        <is>
          <t>story</t>
        </is>
      </c>
      <c r="B27" t="inlineStr">
        <is>
          <t>PORTAL-115</t>
        </is>
      </c>
      <c r="C27" t="inlineStr">
        <is>
          <t>3.3</t>
        </is>
      </c>
      <c r="D27" t="inlineStr">
        <is>
          <t>Bronze ingestion from the Event Hubs Kafka endpoint</t>
        </is>
      </c>
      <c r="E27" t="inlineStr">
        <is>
          <t>claude-opus-5-5</t>
        </is>
      </c>
      <c r="F27" t="inlineStr">
        <is>
          <t>claude-opus-5-5</t>
        </is>
      </c>
      <c r="G27" s="38" t="n">
        <v>46260.06381484953</v>
      </c>
      <c r="H27" s="38" t="n">
        <v>46260.34465282407</v>
      </c>
      <c r="I27" s="36" t="n">
        <v>16</v>
      </c>
      <c r="J27" s="36" t="n">
        <v>106</v>
      </c>
      <c r="K27" s="36" t="n">
        <v>46803</v>
      </c>
      <c r="L27" s="36" t="n">
        <v>5534</v>
      </c>
      <c r="M27" s="36" t="n">
        <v>2271940</v>
      </c>
      <c r="N27" s="36" t="n">
        <v>15080</v>
      </c>
      <c r="O27" s="14">
        <f>IFERROR((J27*VLOOKUP($F27,'Claude Prices'!$A$5:$G$22,3,FALSE)+K27*VLOOKUP($F27,'Claude Prices'!$A$5:$G$22,4,FALSE)+L27*VLOOKUP($F27,'Claude Prices'!$A$5:$G$22,5,FALSE)+M27*VLOOKUP($F27,'Claude Prices'!$A$5:$G$22,6,FALSE)+N27*VLOOKUP($F27,'Claude Prices'!$A$5:$G$22,7,FALSE))/1000000,0)</f>
        <v/>
      </c>
      <c r="P27" s="14">
        <f>O27*ClaudeFxRate</f>
        <v/>
      </c>
      <c r="Q27" t="inlineStr"/>
    </row>
    <row r="28">
      <c r="A28" t="inlineStr">
        <is>
          <t>story</t>
        </is>
      </c>
      <c r="B28" t="inlineStr">
        <is>
          <t>PORTAL-116</t>
        </is>
      </c>
      <c r="C28" t="inlineStr">
        <is>
          <t>3.4</t>
        </is>
      </c>
      <c r="D28" t="inlineStr">
        <is>
          <t>Silver and gold Delta transforms with serving-schema write-back</t>
        </is>
      </c>
      <c r="E28" t="inlineStr">
        <is>
          <t>claude-opus-5-5</t>
        </is>
      </c>
      <c r="F28" t="inlineStr">
        <is>
          <t>claude-opus-5-5</t>
        </is>
      </c>
      <c r="G28" s="38" t="n">
        <v>46260.06012011574</v>
      </c>
      <c r="H28" s="38" t="n">
        <v>46260.38107498843</v>
      </c>
      <c r="I28" s="36" t="n">
        <v>13</v>
      </c>
      <c r="J28" s="36" t="n">
        <v>109</v>
      </c>
      <c r="K28" s="36" t="n">
        <v>48679</v>
      </c>
      <c r="L28" s="36" t="n">
        <v>5933</v>
      </c>
      <c r="M28" s="36" t="n">
        <v>2293063</v>
      </c>
      <c r="N28" s="36" t="n">
        <v>10145</v>
      </c>
      <c r="O28" s="14">
        <f>IFERROR((J28*VLOOKUP($F28,'Claude Prices'!$A$5:$G$22,3,FALSE)+K28*VLOOKUP($F28,'Claude Prices'!$A$5:$G$22,4,FALSE)+L28*VLOOKUP($F28,'Claude Prices'!$A$5:$G$22,5,FALSE)+M28*VLOOKUP($F28,'Claude Prices'!$A$5:$G$22,6,FALSE)+N28*VLOOKUP($F28,'Claude Prices'!$A$5:$G$22,7,FALSE))/1000000,0)</f>
        <v/>
      </c>
      <c r="P28" s="14">
        <f>O28*ClaudeFxRate</f>
        <v/>
      </c>
      <c r="Q28" t="inlineStr"/>
    </row>
    <row r="29">
      <c r="A29" t="inlineStr">
        <is>
          <t>story</t>
        </is>
      </c>
      <c r="B29" t="inlineStr">
        <is>
          <t>PORTAL-117</t>
        </is>
      </c>
      <c r="C29" t="inlineStr">
        <is>
          <t>3.5</t>
        </is>
      </c>
      <c r="D29" t="inlineStr">
        <is>
          <t>Behind-the-scenes stage panel</t>
        </is>
      </c>
      <c r="E29" t="inlineStr">
        <is>
          <t>claude-opus-5-5</t>
        </is>
      </c>
      <c r="F29" t="inlineStr">
        <is>
          <t>claude-opus-5-5</t>
        </is>
      </c>
      <c r="G29" s="38" t="n">
        <v>46259.15256587963</v>
      </c>
      <c r="H29" s="38" t="n">
        <v>46259.31247559028</v>
      </c>
      <c r="I29" s="36" t="n">
        <v>16</v>
      </c>
      <c r="J29" s="36" t="n">
        <v>118</v>
      </c>
      <c r="K29" s="36" t="n">
        <v>47657</v>
      </c>
      <c r="L29" s="36" t="n">
        <v>5900</v>
      </c>
      <c r="M29" s="36" t="n">
        <v>2104710</v>
      </c>
      <c r="N29" s="36" t="n">
        <v>10964</v>
      </c>
      <c r="O29" s="14">
        <f>IFERROR((J29*VLOOKUP($F29,'Claude Prices'!$A$5:$G$22,3,FALSE)+K29*VLOOKUP($F29,'Claude Prices'!$A$5:$G$22,4,FALSE)+L29*VLOOKUP($F29,'Claude Prices'!$A$5:$G$22,5,FALSE)+M29*VLOOKUP($F29,'Claude Prices'!$A$5:$G$22,6,FALSE)+N29*VLOOKUP($F29,'Claude Prices'!$A$5:$G$22,7,FALSE))/1000000,0)</f>
        <v/>
      </c>
      <c r="P29" s="14">
        <f>O29*ClaudeFxRate</f>
        <v/>
      </c>
      <c r="Q29" t="inlineStr"/>
    </row>
    <row r="30">
      <c r="A30" t="inlineStr">
        <is>
          <t>story</t>
        </is>
      </c>
      <c r="B30" t="inlineStr">
        <is>
          <t>PORTAL-118</t>
        </is>
      </c>
      <c r="C30" t="inlineStr">
        <is>
          <t>4.1</t>
        </is>
      </c>
      <c r="D30" t="inlineStr">
        <is>
          <t>Unity Catalog lineage from gold back to the Event Hubs source</t>
        </is>
      </c>
      <c r="E30" t="inlineStr">
        <is>
          <t>claude-opus-5-5</t>
        </is>
      </c>
      <c r="F30" t="inlineStr">
        <is>
          <t>claude-opus-5-5</t>
        </is>
      </c>
      <c r="G30" s="38" t="n">
        <v>46261.16082640046</v>
      </c>
      <c r="H30" s="38" t="n">
        <v>46261.43431835648</v>
      </c>
      <c r="I30" s="36" t="n">
        <v>11</v>
      </c>
      <c r="J30" s="36" t="n">
        <v>86</v>
      </c>
      <c r="K30" s="36" t="n">
        <v>41416</v>
      </c>
      <c r="L30" s="36" t="n">
        <v>4593</v>
      </c>
      <c r="M30" s="36" t="n">
        <v>1938969</v>
      </c>
      <c r="N30" s="36" t="n">
        <v>10805</v>
      </c>
      <c r="O30" s="14">
        <f>IFERROR((J30*VLOOKUP($F30,'Claude Prices'!$A$5:$G$22,3,FALSE)+K30*VLOOKUP($F30,'Claude Prices'!$A$5:$G$22,4,FALSE)+L30*VLOOKUP($F30,'Claude Prices'!$A$5:$G$22,5,FALSE)+M30*VLOOKUP($F30,'Claude Prices'!$A$5:$G$22,6,FALSE)+N30*VLOOKUP($F30,'Claude Prices'!$A$5:$G$22,7,FALSE))/1000000,0)</f>
        <v/>
      </c>
      <c r="P30" s="14">
        <f>O30*ClaudeFxRate</f>
        <v/>
      </c>
      <c r="Q30" t="inlineStr"/>
    </row>
    <row r="31">
      <c r="A31" t="inlineStr">
        <is>
          <t>story</t>
        </is>
      </c>
      <c r="B31" t="inlineStr">
        <is>
          <t>PORTAL-119</t>
        </is>
      </c>
      <c r="C31" t="inlineStr">
        <is>
          <t>4.2</t>
        </is>
      </c>
      <c r="D31" t="inlineStr">
        <is>
          <t>Cash forecast model tracked in MLflow and registered in Unity Catalog</t>
        </is>
      </c>
      <c r="E31" t="inlineStr">
        <is>
          <t>claude-opus-5-5</t>
        </is>
      </c>
      <c r="F31" t="inlineStr">
        <is>
          <t>claude-opus-5-5</t>
        </is>
      </c>
      <c r="G31" s="38" t="n">
        <v>46259.11140119213</v>
      </c>
      <c r="H31" s="38" t="n">
        <v>46259.33626679398</v>
      </c>
      <c r="I31" s="36" t="n">
        <v>9</v>
      </c>
      <c r="J31" s="36" t="n">
        <v>62</v>
      </c>
      <c r="K31" s="36" t="n">
        <v>30854</v>
      </c>
      <c r="L31" s="36" t="n">
        <v>3083</v>
      </c>
      <c r="M31" s="36" t="n">
        <v>1403160</v>
      </c>
      <c r="N31" s="36" t="n">
        <v>8503</v>
      </c>
      <c r="O31" s="14">
        <f>IFERROR((J31*VLOOKUP($F31,'Claude Prices'!$A$5:$G$22,3,FALSE)+K31*VLOOKUP($F31,'Claude Prices'!$A$5:$G$22,4,FALSE)+L31*VLOOKUP($F31,'Claude Prices'!$A$5:$G$22,5,FALSE)+M31*VLOOKUP($F31,'Claude Prices'!$A$5:$G$22,6,FALSE)+N31*VLOOKUP($F31,'Claude Prices'!$A$5:$G$22,7,FALSE))/1000000,0)</f>
        <v/>
      </c>
      <c r="P31" s="14">
        <f>O31*ClaudeFxRate</f>
        <v/>
      </c>
      <c r="Q31" t="inlineStr"/>
    </row>
    <row r="32">
      <c r="A32" t="inlineStr">
        <is>
          <t>story</t>
        </is>
      </c>
      <c r="B32" t="inlineStr">
        <is>
          <t>PORTAL-120</t>
        </is>
      </c>
      <c r="C32" t="inlineStr">
        <is>
          <t>4.3</t>
        </is>
      </c>
      <c r="D32" t="inlineStr">
        <is>
          <t>Isolation Forest payment anomaly detection</t>
        </is>
      </c>
      <c r="E32" t="inlineStr">
        <is>
          <t>claude-opus-5-5</t>
        </is>
      </c>
      <c r="F32" t="inlineStr">
        <is>
          <t>claude-opus-5-5</t>
        </is>
      </c>
      <c r="G32" s="38" t="n">
        <v>46260.04677795139</v>
      </c>
      <c r="H32" s="38" t="n">
        <v>46260.2958400463</v>
      </c>
      <c r="I32" s="36" t="n">
        <v>19</v>
      </c>
      <c r="J32" s="36" t="n">
        <v>94</v>
      </c>
      <c r="K32" s="36" t="n">
        <v>57618</v>
      </c>
      <c r="L32" s="36" t="n">
        <v>6622</v>
      </c>
      <c r="M32" s="36" t="n">
        <v>2712777</v>
      </c>
      <c r="N32" s="36" t="n">
        <v>14386</v>
      </c>
      <c r="O32" s="14">
        <f>IFERROR((J32*VLOOKUP($F32,'Claude Prices'!$A$5:$G$22,3,FALSE)+K32*VLOOKUP($F32,'Claude Prices'!$A$5:$G$22,4,FALSE)+L32*VLOOKUP($F32,'Claude Prices'!$A$5:$G$22,5,FALSE)+M32*VLOOKUP($F32,'Claude Prices'!$A$5:$G$22,6,FALSE)+N32*VLOOKUP($F32,'Claude Prices'!$A$5:$G$22,7,FALSE))/1000000,0)</f>
        <v/>
      </c>
      <c r="P32" s="14">
        <f>O32*ClaudeFxRate</f>
        <v/>
      </c>
      <c r="Q32" t="inlineStr"/>
    </row>
    <row r="33">
      <c r="A33" t="inlineStr">
        <is>
          <t>story</t>
        </is>
      </c>
      <c r="B33" t="inlineStr">
        <is>
          <t>PORTAL-121</t>
        </is>
      </c>
      <c r="C33" t="inlineStr">
        <is>
          <t>4.4</t>
        </is>
      </c>
      <c r="D33" t="inlineStr">
        <is>
          <t>Batch scoring into forecasts and anomalies tables</t>
        </is>
      </c>
      <c r="E33" t="inlineStr">
        <is>
          <t>claude-opus-5-5</t>
        </is>
      </c>
      <c r="F33" t="inlineStr">
        <is>
          <t>claude-opus-5-5</t>
        </is>
      </c>
      <c r="G33" s="38" t="n">
        <v>46259.06535846065</v>
      </c>
      <c r="H33" s="38" t="n">
        <v>46259.40209574074</v>
      </c>
      <c r="I33" s="36" t="n">
        <v>18</v>
      </c>
      <c r="J33" s="36" t="n">
        <v>69</v>
      </c>
      <c r="K33" s="36" t="n">
        <v>48045</v>
      </c>
      <c r="L33" s="36" t="n">
        <v>6264</v>
      </c>
      <c r="M33" s="36" t="n">
        <v>2478204</v>
      </c>
      <c r="N33" s="36" t="n">
        <v>17017</v>
      </c>
      <c r="O33" s="14">
        <f>IFERROR((J33*VLOOKUP($F33,'Claude Prices'!$A$5:$G$22,3,FALSE)+K33*VLOOKUP($F33,'Claude Prices'!$A$5:$G$22,4,FALSE)+L33*VLOOKUP($F33,'Claude Prices'!$A$5:$G$22,5,FALSE)+M33*VLOOKUP($F33,'Claude Prices'!$A$5:$G$22,6,FALSE)+N33*VLOOKUP($F33,'Claude Prices'!$A$5:$G$22,7,FALSE))/1000000,0)</f>
        <v/>
      </c>
      <c r="P33" s="14">
        <f>O33*ClaudeFxRate</f>
        <v/>
      </c>
      <c r="Q33" t="inlineStr"/>
    </row>
    <row r="34">
      <c r="A34" t="inlineStr">
        <is>
          <t>story</t>
        </is>
      </c>
      <c r="B34" t="inlineStr">
        <is>
          <t>PORTAL-122</t>
        </is>
      </c>
      <c r="C34" t="inlineStr">
        <is>
          <t>4.5</t>
        </is>
      </c>
      <c r="D34" t="inlineStr">
        <is>
          <t>Forecast screen and anomaly flags in the portal</t>
        </is>
      </c>
      <c r="E34" t="inlineStr">
        <is>
          <t>claude-opus-5-5</t>
        </is>
      </c>
      <c r="F34" t="inlineStr">
        <is>
          <t>claude-opus-5-5</t>
        </is>
      </c>
      <c r="G34" s="38" t="n">
        <v>46261.06902953704</v>
      </c>
      <c r="H34" s="38" t="n">
        <v>46261.39072189815</v>
      </c>
      <c r="I34" s="36" t="n">
        <v>11</v>
      </c>
      <c r="J34" s="36" t="n">
        <v>62</v>
      </c>
      <c r="K34" s="36" t="n">
        <v>34832</v>
      </c>
      <c r="L34" s="36" t="n">
        <v>3620</v>
      </c>
      <c r="M34" s="36" t="n">
        <v>1689013</v>
      </c>
      <c r="N34" s="36" t="n">
        <v>10153</v>
      </c>
      <c r="O34" s="14">
        <f>IFERROR((J34*VLOOKUP($F34,'Claude Prices'!$A$5:$G$22,3,FALSE)+K34*VLOOKUP($F34,'Claude Prices'!$A$5:$G$22,4,FALSE)+L34*VLOOKUP($F34,'Claude Prices'!$A$5:$G$22,5,FALSE)+M34*VLOOKUP($F34,'Claude Prices'!$A$5:$G$22,6,FALSE)+N34*VLOOKUP($F34,'Claude Prices'!$A$5:$G$22,7,FALSE))/1000000,0)</f>
        <v/>
      </c>
      <c r="P34" s="14">
        <f>O34*ClaudeFxRate</f>
        <v/>
      </c>
      <c r="Q34" t="inlineStr"/>
    </row>
    <row r="35">
      <c r="A35" t="inlineStr">
        <is>
          <t>story</t>
        </is>
      </c>
      <c r="B35" t="inlineStr">
        <is>
          <t>PORTAL-123</t>
        </is>
      </c>
      <c r="C35" t="inlineStr">
        <is>
          <t>5.1</t>
        </is>
      </c>
      <c r="D35" t="inlineStr">
        <is>
          <t>Region-2 AKS from the same Terraform module</t>
        </is>
      </c>
      <c r="E35" t="inlineStr">
        <is>
          <t>claude-opus-5-5</t>
        </is>
      </c>
      <c r="F35" t="inlineStr">
        <is>
          <t>claude-opus-5-5</t>
        </is>
      </c>
      <c r="G35" s="38" t="n">
        <v>46259.08828552083</v>
      </c>
      <c r="H35" s="38" t="n">
        <v>46259.43715850695</v>
      </c>
      <c r="I35" s="36" t="n">
        <v>14</v>
      </c>
      <c r="J35" s="36" t="n">
        <v>110</v>
      </c>
      <c r="K35" s="36" t="n">
        <v>47293</v>
      </c>
      <c r="L35" s="36" t="n">
        <v>6727</v>
      </c>
      <c r="M35" s="36" t="n">
        <v>2257245</v>
      </c>
      <c r="N35" s="36" t="n">
        <v>16564</v>
      </c>
      <c r="O35" s="14">
        <f>IFERROR((J35*VLOOKUP($F35,'Claude Prices'!$A$5:$G$22,3,FALSE)+K35*VLOOKUP($F35,'Claude Prices'!$A$5:$G$22,4,FALSE)+L35*VLOOKUP($F35,'Claude Prices'!$A$5:$G$22,5,FALSE)+M35*VLOOKUP($F35,'Claude Prices'!$A$5:$G$22,6,FALSE)+N35*VLOOKUP($F35,'Claude Prices'!$A$5:$G$22,7,FALSE))/1000000,0)</f>
        <v/>
      </c>
      <c r="P35" s="14">
        <f>O35*ClaudeFxRate</f>
        <v/>
      </c>
      <c r="Q35" t="inlineStr"/>
    </row>
    <row r="36">
      <c r="A36" t="inlineStr">
        <is>
          <t>story</t>
        </is>
      </c>
      <c r="B36" t="inlineStr">
        <is>
          <t>PORTAL-124</t>
        </is>
      </c>
      <c r="C36" t="inlineStr">
        <is>
          <t>5.2</t>
        </is>
      </c>
      <c r="D36" t="inlineStr">
        <is>
          <t>Front Door origins, health probes and Front Door-only ingress</t>
        </is>
      </c>
      <c r="E36" t="inlineStr">
        <is>
          <t>claude-opus-5-5</t>
        </is>
      </c>
      <c r="F36" t="inlineStr">
        <is>
          <t>claude-opus-5-5</t>
        </is>
      </c>
      <c r="G36" s="38" t="n">
        <v>46259.08691092593</v>
      </c>
      <c r="H36" s="38" t="n">
        <v>46259.40782974537</v>
      </c>
      <c r="I36" s="36" t="n">
        <v>13</v>
      </c>
      <c r="J36" s="36" t="n">
        <v>51</v>
      </c>
      <c r="K36" s="36" t="n">
        <v>36120</v>
      </c>
      <c r="L36" s="36" t="n">
        <v>4785</v>
      </c>
      <c r="M36" s="36" t="n">
        <v>1590908</v>
      </c>
      <c r="N36" s="36" t="n">
        <v>11049</v>
      </c>
      <c r="O36" s="14">
        <f>IFERROR((J36*VLOOKUP($F36,'Claude Prices'!$A$5:$G$22,3,FALSE)+K36*VLOOKUP($F36,'Claude Prices'!$A$5:$G$22,4,FALSE)+L36*VLOOKUP($F36,'Claude Prices'!$A$5:$G$22,5,FALSE)+M36*VLOOKUP($F36,'Claude Prices'!$A$5:$G$22,6,FALSE)+N36*VLOOKUP($F36,'Claude Prices'!$A$5:$G$22,7,FALSE))/1000000,0)</f>
        <v/>
      </c>
      <c r="P36" s="14">
        <f>O36*ClaudeFxRate</f>
        <v/>
      </c>
      <c r="Q36" t="inlineStr"/>
    </row>
    <row r="37">
      <c r="A37" t="inlineStr">
        <is>
          <t>story</t>
        </is>
      </c>
      <c r="B37" t="inlineStr">
        <is>
          <t>PORTAL-125</t>
        </is>
      </c>
      <c r="C37" t="inlineStr">
        <is>
          <t>5.3</t>
        </is>
      </c>
      <c r="D37" t="inlineStr">
        <is>
          <t>SQL failover group behind a Terraform flag</t>
        </is>
      </c>
      <c r="E37" t="inlineStr">
        <is>
          <t>claude-opus-5-5</t>
        </is>
      </c>
      <c r="F37" t="inlineStr">
        <is>
          <t>claude-opus-5-5</t>
        </is>
      </c>
      <c r="G37" s="38" t="n">
        <v>46261.13232665509</v>
      </c>
      <c r="H37" s="38" t="n">
        <v>46261.35651793981</v>
      </c>
      <c r="I37" s="36" t="n">
        <v>15</v>
      </c>
      <c r="J37" s="36" t="n">
        <v>79</v>
      </c>
      <c r="K37" s="36" t="n">
        <v>51280</v>
      </c>
      <c r="L37" s="36" t="n">
        <v>5066</v>
      </c>
      <c r="M37" s="36" t="n">
        <v>2473649</v>
      </c>
      <c r="N37" s="36" t="n">
        <v>12558</v>
      </c>
      <c r="O37" s="14">
        <f>IFERROR((J37*VLOOKUP($F37,'Claude Prices'!$A$5:$G$22,3,FALSE)+K37*VLOOKUP($F37,'Claude Prices'!$A$5:$G$22,4,FALSE)+L37*VLOOKUP($F37,'Claude Prices'!$A$5:$G$22,5,FALSE)+M37*VLOOKUP($F37,'Claude Prices'!$A$5:$G$22,6,FALSE)+N37*VLOOKUP($F37,'Claude Prices'!$A$5:$G$22,7,FALSE))/1000000,0)</f>
        <v/>
      </c>
      <c r="P37" s="14">
        <f>O37*ClaudeFxRate</f>
        <v/>
      </c>
      <c r="Q37" t="inlineStr"/>
    </row>
    <row r="38">
      <c r="A38" t="inlineStr">
        <is>
          <t>story</t>
        </is>
      </c>
      <c r="B38" t="inlineStr">
        <is>
          <t>PORTAL-126</t>
        </is>
      </c>
      <c r="C38" t="inlineStr">
        <is>
          <t>5.4</t>
        </is>
      </c>
      <c r="D38" t="inlineStr">
        <is>
          <t>Grafana requests-per-second by region</t>
        </is>
      </c>
      <c r="E38" t="inlineStr">
        <is>
          <t>claude-opus-5-5</t>
        </is>
      </c>
      <c r="F38" t="inlineStr">
        <is>
          <t>claude-opus-5-5</t>
        </is>
      </c>
      <c r="G38" s="38" t="n">
        <v>46259.14928271991</v>
      </c>
      <c r="H38" s="38" t="n">
        <v>46259.40410987269</v>
      </c>
      <c r="I38" s="36" t="n">
        <v>13</v>
      </c>
      <c r="J38" s="36" t="n">
        <v>75</v>
      </c>
      <c r="K38" s="36" t="n">
        <v>48527</v>
      </c>
      <c r="L38" s="36" t="n">
        <v>5417</v>
      </c>
      <c r="M38" s="36" t="n">
        <v>2117224</v>
      </c>
      <c r="N38" s="36" t="n">
        <v>12626</v>
      </c>
      <c r="O38" s="14">
        <f>IFERROR((J38*VLOOKUP($F38,'Claude Prices'!$A$5:$G$22,3,FALSE)+K38*VLOOKUP($F38,'Claude Prices'!$A$5:$G$22,4,FALSE)+L38*VLOOKUP($F38,'Claude Prices'!$A$5:$G$22,5,FALSE)+M38*VLOOKUP($F38,'Claude Prices'!$A$5:$G$22,6,FALSE)+N38*VLOOKUP($F38,'Claude Prices'!$A$5:$G$22,7,FALSE))/1000000,0)</f>
        <v/>
      </c>
      <c r="P38" s="14">
        <f>O38*ClaudeFxRate</f>
        <v/>
      </c>
      <c r="Q38" t="inlineStr"/>
    </row>
    <row r="39">
      <c r="A39" t="inlineStr">
        <is>
          <t>story</t>
        </is>
      </c>
      <c r="B39" t="inlineStr">
        <is>
          <t>PORTAL-127</t>
        </is>
      </c>
      <c r="C39" t="inlineStr">
        <is>
          <t>5.5</t>
        </is>
      </c>
      <c r="D39" t="inlineStr">
        <is>
          <t>Regional failover drill and runbook</t>
        </is>
      </c>
      <c r="E39" t="inlineStr">
        <is>
          <t>claude-opus-5-5</t>
        </is>
      </c>
      <c r="F39" t="inlineStr">
        <is>
          <t>claude-opus-5-5</t>
        </is>
      </c>
      <c r="G39" s="38" t="n">
        <v>46259.16269131944</v>
      </c>
      <c r="H39" s="38" t="n">
        <v>46259.41539773148</v>
      </c>
      <c r="I39" s="36" t="n">
        <v>14</v>
      </c>
      <c r="J39" s="36" t="n">
        <v>134</v>
      </c>
      <c r="K39" s="36" t="n">
        <v>48954</v>
      </c>
      <c r="L39" s="36" t="n">
        <v>5608</v>
      </c>
      <c r="M39" s="36" t="n">
        <v>2442046</v>
      </c>
      <c r="N39" s="36" t="n">
        <v>14448</v>
      </c>
      <c r="O39" s="14">
        <f>IFERROR((J39*VLOOKUP($F39,'Claude Prices'!$A$5:$G$22,3,FALSE)+K39*VLOOKUP($F39,'Claude Prices'!$A$5:$G$22,4,FALSE)+L39*VLOOKUP($F39,'Claude Prices'!$A$5:$G$22,5,FALSE)+M39*VLOOKUP($F39,'Claude Prices'!$A$5:$G$22,6,FALSE)+N39*VLOOKUP($F39,'Claude Prices'!$A$5:$G$22,7,FALSE))/1000000,0)</f>
        <v/>
      </c>
      <c r="P39" s="14">
        <f>O39*ClaudeFxRate</f>
        <v/>
      </c>
      <c r="Q39" t="inlineStr"/>
    </row>
    <row r="40">
      <c r="A40" t="inlineStr">
        <is>
          <t>story</t>
        </is>
      </c>
      <c r="B40" t="inlineStr">
        <is>
          <t>PORTAL-128</t>
        </is>
      </c>
      <c r="C40" t="inlineStr">
        <is>
          <t>6.1</t>
        </is>
      </c>
      <c r="D40" t="inlineStr">
        <is>
          <t>Security controls evidence pack for the CISO review</t>
        </is>
      </c>
      <c r="E40" t="inlineStr">
        <is>
          <t>claude-opus-5-5</t>
        </is>
      </c>
      <c r="F40" t="inlineStr">
        <is>
          <t>claude-opus-5-5</t>
        </is>
      </c>
      <c r="G40" s="38" t="n">
        <v>46259.06568052083</v>
      </c>
      <c r="H40" s="38" t="n">
        <v>46259.40294707176</v>
      </c>
      <c r="I40" s="36" t="n">
        <v>15</v>
      </c>
      <c r="J40" s="36" t="n">
        <v>117</v>
      </c>
      <c r="K40" s="36" t="n">
        <v>54291</v>
      </c>
      <c r="L40" s="36" t="n">
        <v>6229</v>
      </c>
      <c r="M40" s="36" t="n">
        <v>2641089</v>
      </c>
      <c r="N40" s="36" t="n">
        <v>13996</v>
      </c>
      <c r="O40" s="14">
        <f>IFERROR((J40*VLOOKUP($F40,'Claude Prices'!$A$5:$G$22,3,FALSE)+K40*VLOOKUP($F40,'Claude Prices'!$A$5:$G$22,4,FALSE)+L40*VLOOKUP($F40,'Claude Prices'!$A$5:$G$22,5,FALSE)+M40*VLOOKUP($F40,'Claude Prices'!$A$5:$G$22,6,FALSE)+N40*VLOOKUP($F40,'Claude Prices'!$A$5:$G$22,7,FALSE))/1000000,0)</f>
        <v/>
      </c>
      <c r="P40" s="14">
        <f>O40*ClaudeFxRate</f>
        <v/>
      </c>
      <c r="Q40" t="inlineStr"/>
    </row>
    <row r="41">
      <c r="A41" t="inlineStr">
        <is>
          <t>story</t>
        </is>
      </c>
      <c r="B41" t="inlineStr">
        <is>
          <t>PORTAL-129</t>
        </is>
      </c>
      <c r="C41" t="inlineStr">
        <is>
          <t>6.2</t>
        </is>
      </c>
      <c r="D41" t="inlineStr">
        <is>
          <t>PDPA data-protection assessment and penetration test remediation</t>
        </is>
      </c>
      <c r="E41" t="inlineStr">
        <is>
          <t>claude-opus-5-5</t>
        </is>
      </c>
      <c r="F41" t="inlineStr">
        <is>
          <t>claude-opus-5-5</t>
        </is>
      </c>
      <c r="G41" s="38" t="n">
        <v>46260.07726663195</v>
      </c>
      <c r="H41" s="38" t="n">
        <v>46260.44989851852</v>
      </c>
      <c r="I41" s="36" t="n">
        <v>16</v>
      </c>
      <c r="J41" s="36" t="n">
        <v>48</v>
      </c>
      <c r="K41" s="36" t="n">
        <v>46669</v>
      </c>
      <c r="L41" s="36" t="n">
        <v>4208</v>
      </c>
      <c r="M41" s="36" t="n">
        <v>2028847</v>
      </c>
      <c r="N41" s="36" t="n">
        <v>13387</v>
      </c>
      <c r="O41" s="14">
        <f>IFERROR((J41*VLOOKUP($F41,'Claude Prices'!$A$5:$G$22,3,FALSE)+K41*VLOOKUP($F41,'Claude Prices'!$A$5:$G$22,4,FALSE)+L41*VLOOKUP($F41,'Claude Prices'!$A$5:$G$22,5,FALSE)+M41*VLOOKUP($F41,'Claude Prices'!$A$5:$G$22,6,FALSE)+N41*VLOOKUP($F41,'Claude Prices'!$A$5:$G$22,7,FALSE))/1000000,0)</f>
        <v/>
      </c>
      <c r="P41" s="14">
        <f>O41*ClaudeFxRate</f>
        <v/>
      </c>
      <c r="Q41" t="inlineStr"/>
    </row>
    <row r="42">
      <c r="A42" t="inlineStr">
        <is>
          <t>story</t>
        </is>
      </c>
      <c r="B42" t="inlineStr">
        <is>
          <t>PORTAL-130</t>
        </is>
      </c>
      <c r="C42" t="inlineStr">
        <is>
          <t>6.3</t>
        </is>
      </c>
      <c r="D42" t="inlineStr">
        <is>
          <t>UAT with Group Treasury and business sign-off</t>
        </is>
      </c>
      <c r="E42" t="inlineStr">
        <is>
          <t>claude-opus-5-5</t>
        </is>
      </c>
      <c r="F42" t="inlineStr">
        <is>
          <t>claude-opus-5-5</t>
        </is>
      </c>
      <c r="G42" s="38" t="n">
        <v>46260.06494634259</v>
      </c>
      <c r="H42" s="38" t="n">
        <v>46260.292943125</v>
      </c>
      <c r="I42" s="36" t="n">
        <v>14</v>
      </c>
      <c r="J42" s="36" t="n">
        <v>87</v>
      </c>
      <c r="K42" s="36" t="n">
        <v>45760</v>
      </c>
      <c r="L42" s="36" t="n">
        <v>5179</v>
      </c>
      <c r="M42" s="36" t="n">
        <v>2082456</v>
      </c>
      <c r="N42" s="36" t="n">
        <v>8342</v>
      </c>
      <c r="O42" s="14">
        <f>IFERROR((J42*VLOOKUP($F42,'Claude Prices'!$A$5:$G$22,3,FALSE)+K42*VLOOKUP($F42,'Claude Prices'!$A$5:$G$22,4,FALSE)+L42*VLOOKUP($F42,'Claude Prices'!$A$5:$G$22,5,FALSE)+M42*VLOOKUP($F42,'Claude Prices'!$A$5:$G$22,6,FALSE)+N42*VLOOKUP($F42,'Claude Prices'!$A$5:$G$22,7,FALSE))/1000000,0)</f>
        <v/>
      </c>
      <c r="P42" s="14">
        <f>O42*ClaudeFxRate</f>
        <v/>
      </c>
      <c r="Q42" t="inlineStr"/>
    </row>
    <row r="43">
      <c r="A43" t="inlineStr">
        <is>
          <t>story</t>
        </is>
      </c>
      <c r="B43" t="inlineStr">
        <is>
          <t>PORTAL-131</t>
        </is>
      </c>
      <c r="C43" t="inlineStr">
        <is>
          <t>6.4</t>
        </is>
      </c>
      <c r="D43" t="inlineStr">
        <is>
          <t>CAB approval, production cut-over and hypercare</t>
        </is>
      </c>
      <c r="E43" t="inlineStr">
        <is>
          <t>claude-opus-5-5</t>
        </is>
      </c>
      <c r="F43" t="inlineStr">
        <is>
          <t>claude-opus-5-5</t>
        </is>
      </c>
      <c r="G43" s="38" t="n">
        <v>46259.09459153935</v>
      </c>
      <c r="H43" s="38" t="n">
        <v>46259.39504582176</v>
      </c>
      <c r="I43" s="36" t="n">
        <v>15</v>
      </c>
      <c r="J43" s="36" t="n">
        <v>95</v>
      </c>
      <c r="K43" s="36" t="n">
        <v>43160</v>
      </c>
      <c r="L43" s="36" t="n">
        <v>4790</v>
      </c>
      <c r="M43" s="36" t="n">
        <v>2214174</v>
      </c>
      <c r="N43" s="36" t="n">
        <v>16918</v>
      </c>
      <c r="O43" s="14">
        <f>IFERROR((J43*VLOOKUP($F43,'Claude Prices'!$A$5:$G$22,3,FALSE)+K43*VLOOKUP($F43,'Claude Prices'!$A$5:$G$22,4,FALSE)+L43*VLOOKUP($F43,'Claude Prices'!$A$5:$G$22,5,FALSE)+M43*VLOOKUP($F43,'Claude Prices'!$A$5:$G$22,6,FALSE)+N43*VLOOKUP($F43,'Claude Prices'!$A$5:$G$22,7,FALSE))/1000000,0)</f>
        <v/>
      </c>
      <c r="P43" s="14">
        <f>O43*ClaudeFxRate</f>
        <v/>
      </c>
      <c r="Q43"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P11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0" customWidth="1" min="3" max="3"/>
    <col width="9" customWidth="1" min="4" max="4"/>
    <col width="30" customWidth="1" min="5" max="5"/>
    <col width="26" customWidth="1" min="6" max="6"/>
    <col width="22" customWidth="1" min="7" max="7"/>
    <col width="9" customWidth="1" min="8" max="8"/>
    <col width="14" customWidth="1" min="9" max="9"/>
    <col width="14" customWidth="1" min="10" max="10"/>
    <col width="14" customWidth="1" min="11" max="11"/>
    <col width="16" customWidth="1" min="12" max="12"/>
    <col width="14" customWidth="1" min="13" max="13"/>
    <col width="14" customWidth="1" min="14" max="14"/>
    <col width="14" customWidth="1" min="15" max="15"/>
    <col width="18" customWidth="1" min="16" max="16"/>
  </cols>
  <sheetData>
    <row r="1">
      <c r="A1" s="1" t="inlineStr">
        <is>
          <t>Claude API usage by day</t>
        </is>
      </c>
    </row>
    <row r="2">
      <c r="A2" t="inlineStr">
        <is>
          <t>From the token ledger (claude_usage_daily.csv, refreshed after every turn). Cost = tokens x the Claude Prices sheet; models with no price cost 0.</t>
        </is>
      </c>
    </row>
    <row r="4">
      <c r="A4" s="3" t="inlineStr">
        <is>
          <t>Day</t>
        </is>
      </c>
      <c r="B4" s="3" t="inlineStr">
        <is>
          <t>Kind</t>
        </is>
      </c>
      <c r="C4" s="3" t="inlineStr">
        <is>
          <t>Work item</t>
        </is>
      </c>
      <c r="D4" s="3" t="inlineStr">
        <is>
          <t>Story no</t>
        </is>
      </c>
      <c r="E4" s="3" t="inlineStr">
        <is>
          <t>Title</t>
        </is>
      </c>
      <c r="F4" s="3" t="inlineStr">
        <is>
          <t>Model</t>
        </is>
      </c>
      <c r="G4" s="3" t="inlineStr">
        <is>
          <t>Pricing model</t>
        </is>
      </c>
      <c r="H4" s="3" t="inlineStr">
        <is>
          <t>Calls</t>
        </is>
      </c>
      <c r="I4" s="3" t="inlineStr">
        <is>
          <t>Input tokens</t>
        </is>
      </c>
      <c r="J4" s="3" t="inlineStr">
        <is>
          <t>Cache write 5m tokens</t>
        </is>
      </c>
      <c r="K4" s="3" t="inlineStr">
        <is>
          <t>Cache write 1h tokens</t>
        </is>
      </c>
      <c r="L4" s="3" t="inlineStr">
        <is>
          <t>Cache read tokens</t>
        </is>
      </c>
      <c r="M4" s="3" t="inlineStr">
        <is>
          <t>Output tokens</t>
        </is>
      </c>
      <c r="N4" s="3" t="inlineStr">
        <is>
          <t>Cost (USD)</t>
        </is>
      </c>
      <c r="O4" s="3" t="inlineStr">
        <is>
          <t>Cost (USD)</t>
        </is>
      </c>
      <c r="P4" s="3" t="inlineStr">
        <is>
          <t>Person</t>
        </is>
      </c>
    </row>
    <row r="5">
      <c r="A5" s="26" t="n">
        <v>46230</v>
      </c>
      <c r="B5" t="inlineStr">
        <is>
          <t>planning</t>
        </is>
      </c>
      <c r="C5" t="inlineStr">
        <is>
          <t>brainstorming</t>
        </is>
      </c>
      <c r="D5" t="inlineStr"/>
      <c r="E5" t="inlineStr"/>
      <c r="F5" t="inlineStr">
        <is>
          <t>claude-opus-5-5</t>
        </is>
      </c>
      <c r="G5" t="inlineStr">
        <is>
          <t>claude-opus-5-5</t>
        </is>
      </c>
      <c r="H5" s="36" t="n">
        <v>99</v>
      </c>
      <c r="I5" s="36" t="n">
        <v>771</v>
      </c>
      <c r="J5" s="36" t="n">
        <v>359180</v>
      </c>
      <c r="K5" s="36" t="n">
        <v>41815</v>
      </c>
      <c r="L5" s="36" t="n">
        <v>15766876</v>
      </c>
      <c r="M5" s="36" t="n">
        <v>93187</v>
      </c>
      <c r="N5" s="14">
        <f>IFERROR((I5*VLOOKUP($G5,'Claude Prices'!$A$5:$G$22,3,FALSE)+J5*VLOOKUP($G5,'Claude Prices'!$A$5:$G$22,4,FALSE)+K5*VLOOKUP($G5,'Claude Prices'!$A$5:$G$22,5,FALSE)+L5*VLOOKUP($G5,'Claude Prices'!$A$5:$G$22,6,FALSE)+M5*VLOOKUP($G5,'Claude Prices'!$A$5:$G$22,7,FALSE))/1000000,0)</f>
        <v/>
      </c>
      <c r="O5" s="14">
        <f>N5*ClaudeFxRate</f>
        <v/>
      </c>
      <c r="P5" t="inlineStr"/>
    </row>
    <row r="6">
      <c r="A6" s="26" t="n">
        <v>46231</v>
      </c>
      <c r="B6" t="inlineStr">
        <is>
          <t>planning</t>
        </is>
      </c>
      <c r="C6" t="inlineStr">
        <is>
          <t>brainstorming</t>
        </is>
      </c>
      <c r="D6" t="inlineStr"/>
      <c r="E6" t="inlineStr"/>
      <c r="F6" t="inlineStr">
        <is>
          <t>claude-opus-5-5</t>
        </is>
      </c>
      <c r="G6" t="inlineStr">
        <is>
          <t>claude-opus-5-5</t>
        </is>
      </c>
      <c r="H6" s="36" t="n">
        <v>150</v>
      </c>
      <c r="I6" s="36" t="n">
        <v>565</v>
      </c>
      <c r="J6" s="36" t="n">
        <v>428398</v>
      </c>
      <c r="K6" s="36" t="n">
        <v>53737</v>
      </c>
      <c r="L6" s="36" t="n">
        <v>20612077</v>
      </c>
      <c r="M6" s="36" t="n">
        <v>125636</v>
      </c>
      <c r="N6" s="14">
        <f>IFERROR((I6*VLOOKUP($G6,'Claude Prices'!$A$5:$G$22,3,FALSE)+J6*VLOOKUP($G6,'Claude Prices'!$A$5:$G$22,4,FALSE)+K6*VLOOKUP($G6,'Claude Prices'!$A$5:$G$22,5,FALSE)+L6*VLOOKUP($G6,'Claude Prices'!$A$5:$G$22,6,FALSE)+M6*VLOOKUP($G6,'Claude Prices'!$A$5:$G$22,7,FALSE))/1000000,0)</f>
        <v/>
      </c>
      <c r="O6" s="14">
        <f>N6*ClaudeFxRate</f>
        <v/>
      </c>
      <c r="P6" t="inlineStr"/>
    </row>
    <row r="7">
      <c r="A7" s="26" t="n">
        <v>46232</v>
      </c>
      <c r="B7" t="inlineStr">
        <is>
          <t>planning</t>
        </is>
      </c>
      <c r="C7" t="inlineStr">
        <is>
          <t>spec</t>
        </is>
      </c>
      <c r="D7" t="inlineStr"/>
      <c r="E7" t="inlineStr"/>
      <c r="F7" t="inlineStr">
        <is>
          <t>claude-opus-5-5</t>
        </is>
      </c>
      <c r="G7" t="inlineStr">
        <is>
          <t>claude-opus-5-5</t>
        </is>
      </c>
      <c r="H7" s="36" t="n">
        <v>108</v>
      </c>
      <c r="I7" s="36" t="n">
        <v>510</v>
      </c>
      <c r="J7" s="36" t="n">
        <v>353290</v>
      </c>
      <c r="K7" s="36" t="n">
        <v>43525</v>
      </c>
      <c r="L7" s="36" t="n">
        <v>15311490</v>
      </c>
      <c r="M7" s="36" t="n">
        <v>92576</v>
      </c>
      <c r="N7" s="14">
        <f>IFERROR((I7*VLOOKUP($G7,'Claude Prices'!$A$5:$G$22,3,FALSE)+J7*VLOOKUP($G7,'Claude Prices'!$A$5:$G$22,4,FALSE)+K7*VLOOKUP($G7,'Claude Prices'!$A$5:$G$22,5,FALSE)+L7*VLOOKUP($G7,'Claude Prices'!$A$5:$G$22,6,FALSE)+M7*VLOOKUP($G7,'Claude Prices'!$A$5:$G$22,7,FALSE))/1000000,0)</f>
        <v/>
      </c>
      <c r="O7" s="14">
        <f>N7*ClaudeFxRate</f>
        <v/>
      </c>
      <c r="P7" t="inlineStr"/>
    </row>
    <row r="8">
      <c r="A8" s="26" t="n">
        <v>46233</v>
      </c>
      <c r="B8" t="inlineStr">
        <is>
          <t>planning</t>
        </is>
      </c>
      <c r="C8" t="inlineStr">
        <is>
          <t>spec</t>
        </is>
      </c>
      <c r="D8" t="inlineStr"/>
      <c r="E8" t="inlineStr"/>
      <c r="F8" t="inlineStr">
        <is>
          <t>claude-opus-5-5</t>
        </is>
      </c>
      <c r="G8" t="inlineStr">
        <is>
          <t>claude-opus-5-5</t>
        </is>
      </c>
      <c r="H8" s="36" t="n">
        <v>76</v>
      </c>
      <c r="I8" s="36" t="n">
        <v>522</v>
      </c>
      <c r="J8" s="36" t="n">
        <v>259983</v>
      </c>
      <c r="K8" s="36" t="n">
        <v>28964</v>
      </c>
      <c r="L8" s="36" t="n">
        <v>11561605</v>
      </c>
      <c r="M8" s="36" t="n">
        <v>59776</v>
      </c>
      <c r="N8" s="14">
        <f>IFERROR((I8*VLOOKUP($G8,'Claude Prices'!$A$5:$G$22,3,FALSE)+J8*VLOOKUP($G8,'Claude Prices'!$A$5:$G$22,4,FALSE)+K8*VLOOKUP($G8,'Claude Prices'!$A$5:$G$22,5,FALSE)+L8*VLOOKUP($G8,'Claude Prices'!$A$5:$G$22,6,FALSE)+M8*VLOOKUP($G8,'Claude Prices'!$A$5:$G$22,7,FALSE))/1000000,0)</f>
        <v/>
      </c>
      <c r="O8" s="14">
        <f>N8*ClaudeFxRate</f>
        <v/>
      </c>
      <c r="P8" t="inlineStr"/>
    </row>
    <row r="9">
      <c r="A9" s="26" t="n">
        <v>46234</v>
      </c>
      <c r="B9" t="inlineStr">
        <is>
          <t>planning</t>
        </is>
      </c>
      <c r="C9" t="inlineStr">
        <is>
          <t>spec</t>
        </is>
      </c>
      <c r="D9" t="inlineStr"/>
      <c r="E9" t="inlineStr"/>
      <c r="F9" t="inlineStr">
        <is>
          <t>claude-opus-5-5</t>
        </is>
      </c>
      <c r="G9" t="inlineStr">
        <is>
          <t>claude-opus-5-5</t>
        </is>
      </c>
      <c r="H9" s="36" t="n">
        <v>95</v>
      </c>
      <c r="I9" s="36" t="n">
        <v>695</v>
      </c>
      <c r="J9" s="36" t="n">
        <v>313874</v>
      </c>
      <c r="K9" s="36" t="n">
        <v>34331</v>
      </c>
      <c r="L9" s="36" t="n">
        <v>15562561</v>
      </c>
      <c r="M9" s="36" t="n">
        <v>84339</v>
      </c>
      <c r="N9" s="14">
        <f>IFERROR((I9*VLOOKUP($G9,'Claude Prices'!$A$5:$G$22,3,FALSE)+J9*VLOOKUP($G9,'Claude Prices'!$A$5:$G$22,4,FALSE)+K9*VLOOKUP($G9,'Claude Prices'!$A$5:$G$22,5,FALSE)+L9*VLOOKUP($G9,'Claude Prices'!$A$5:$G$22,6,FALSE)+M9*VLOOKUP($G9,'Claude Prices'!$A$5:$G$22,7,FALSE))/1000000,0)</f>
        <v/>
      </c>
      <c r="O9" s="14">
        <f>N9*ClaudeFxRate</f>
        <v/>
      </c>
      <c r="P9" t="inlineStr"/>
    </row>
    <row r="10">
      <c r="A10" s="26" t="n">
        <v>46237</v>
      </c>
      <c r="B10" t="inlineStr">
        <is>
          <t>planning</t>
        </is>
      </c>
      <c r="C10" t="inlineStr">
        <is>
          <t>spec</t>
        </is>
      </c>
      <c r="D10" t="inlineStr"/>
      <c r="E10" t="inlineStr"/>
      <c r="F10" t="inlineStr">
        <is>
          <t>claude-opus-5-5</t>
        </is>
      </c>
      <c r="G10" t="inlineStr">
        <is>
          <t>claude-opus-5-5</t>
        </is>
      </c>
      <c r="H10" s="36" t="n">
        <v>106</v>
      </c>
      <c r="I10" s="36" t="n">
        <v>696</v>
      </c>
      <c r="J10" s="36" t="n">
        <v>351426</v>
      </c>
      <c r="K10" s="36" t="n">
        <v>41815</v>
      </c>
      <c r="L10" s="36" t="n">
        <v>15867028</v>
      </c>
      <c r="M10" s="36" t="n">
        <v>94194</v>
      </c>
      <c r="N10" s="14">
        <f>IFERROR((I10*VLOOKUP($G10,'Claude Prices'!$A$5:$G$22,3,FALSE)+J10*VLOOKUP($G10,'Claude Prices'!$A$5:$G$22,4,FALSE)+K10*VLOOKUP($G10,'Claude Prices'!$A$5:$G$22,5,FALSE)+L10*VLOOKUP($G10,'Claude Prices'!$A$5:$G$22,6,FALSE)+M10*VLOOKUP($G10,'Claude Prices'!$A$5:$G$22,7,FALSE))/1000000,0)</f>
        <v/>
      </c>
      <c r="O10" s="14">
        <f>N10*ClaudeFxRate</f>
        <v/>
      </c>
      <c r="P10" t="inlineStr"/>
    </row>
    <row r="11">
      <c r="A11" s="26" t="n">
        <v>46238</v>
      </c>
      <c r="B11" t="inlineStr">
        <is>
          <t>planning</t>
        </is>
      </c>
      <c r="C11" t="inlineStr">
        <is>
          <t>spec</t>
        </is>
      </c>
      <c r="D11" t="inlineStr"/>
      <c r="E11" t="inlineStr"/>
      <c r="F11" t="inlineStr">
        <is>
          <t>claude-opus-5-5</t>
        </is>
      </c>
      <c r="G11" t="inlineStr">
        <is>
          <t>claude-opus-5-5</t>
        </is>
      </c>
      <c r="H11" s="36" t="n">
        <v>120</v>
      </c>
      <c r="I11" s="36" t="n">
        <v>926</v>
      </c>
      <c r="J11" s="36" t="n">
        <v>352737</v>
      </c>
      <c r="K11" s="36" t="n">
        <v>50938</v>
      </c>
      <c r="L11" s="36" t="n">
        <v>18060586</v>
      </c>
      <c r="M11" s="36" t="n">
        <v>97531</v>
      </c>
      <c r="N11" s="14">
        <f>IFERROR((I11*VLOOKUP($G11,'Claude Prices'!$A$5:$G$22,3,FALSE)+J11*VLOOKUP($G11,'Claude Prices'!$A$5:$G$22,4,FALSE)+K11*VLOOKUP($G11,'Claude Prices'!$A$5:$G$22,5,FALSE)+L11*VLOOKUP($G11,'Claude Prices'!$A$5:$G$22,6,FALSE)+M11*VLOOKUP($G11,'Claude Prices'!$A$5:$G$22,7,FALSE))/1000000,0)</f>
        <v/>
      </c>
      <c r="O11" s="14">
        <f>N11*ClaudeFxRate</f>
        <v/>
      </c>
      <c r="P11" t="inlineStr"/>
    </row>
    <row r="12">
      <c r="A12" s="26" t="n">
        <v>46239</v>
      </c>
      <c r="B12" t="inlineStr">
        <is>
          <t>planning</t>
        </is>
      </c>
      <c r="C12" t="inlineStr">
        <is>
          <t>architecture</t>
        </is>
      </c>
      <c r="D12" t="inlineStr"/>
      <c r="E12" t="inlineStr"/>
      <c r="F12" t="inlineStr">
        <is>
          <t>claude-opus-5-5</t>
        </is>
      </c>
      <c r="G12" t="inlineStr">
        <is>
          <t>claude-opus-5-5</t>
        </is>
      </c>
      <c r="H12" s="36" t="n">
        <v>103</v>
      </c>
      <c r="I12" s="36" t="n">
        <v>675</v>
      </c>
      <c r="J12" s="36" t="n">
        <v>305086</v>
      </c>
      <c r="K12" s="36" t="n">
        <v>34837</v>
      </c>
      <c r="L12" s="36" t="n">
        <v>13942212</v>
      </c>
      <c r="M12" s="36" t="n">
        <v>88296</v>
      </c>
      <c r="N12" s="14">
        <f>IFERROR((I12*VLOOKUP($G12,'Claude Prices'!$A$5:$G$22,3,FALSE)+J12*VLOOKUP($G12,'Claude Prices'!$A$5:$G$22,4,FALSE)+K12*VLOOKUP($G12,'Claude Prices'!$A$5:$G$22,5,FALSE)+L12*VLOOKUP($G12,'Claude Prices'!$A$5:$G$22,6,FALSE)+M12*VLOOKUP($G12,'Claude Prices'!$A$5:$G$22,7,FALSE))/1000000,0)</f>
        <v/>
      </c>
      <c r="O12" s="14">
        <f>N12*ClaudeFxRate</f>
        <v/>
      </c>
      <c r="P12" t="inlineStr"/>
    </row>
    <row r="13">
      <c r="A13" s="26" t="n">
        <v>46240</v>
      </c>
      <c r="B13" t="inlineStr">
        <is>
          <t>planning</t>
        </is>
      </c>
      <c r="C13" t="inlineStr">
        <is>
          <t>architecture</t>
        </is>
      </c>
      <c r="D13" t="inlineStr"/>
      <c r="E13" t="inlineStr"/>
      <c r="F13" t="inlineStr">
        <is>
          <t>claude-opus-5-5</t>
        </is>
      </c>
      <c r="G13" t="inlineStr">
        <is>
          <t>claude-opus-5-5</t>
        </is>
      </c>
      <c r="H13" s="36" t="n">
        <v>81</v>
      </c>
      <c r="I13" s="36" t="n">
        <v>483</v>
      </c>
      <c r="J13" s="36" t="n">
        <v>265660</v>
      </c>
      <c r="K13" s="36" t="n">
        <v>27709</v>
      </c>
      <c r="L13" s="36" t="n">
        <v>12282734</v>
      </c>
      <c r="M13" s="36" t="n">
        <v>77030</v>
      </c>
      <c r="N13" s="14">
        <f>IFERROR((I13*VLOOKUP($G13,'Claude Prices'!$A$5:$G$22,3,FALSE)+J13*VLOOKUP($G13,'Claude Prices'!$A$5:$G$22,4,FALSE)+K13*VLOOKUP($G13,'Claude Prices'!$A$5:$G$22,5,FALSE)+L13*VLOOKUP($G13,'Claude Prices'!$A$5:$G$22,6,FALSE)+M13*VLOOKUP($G13,'Claude Prices'!$A$5:$G$22,7,FALSE))/1000000,0)</f>
        <v/>
      </c>
      <c r="O13" s="14">
        <f>N13*ClaudeFxRate</f>
        <v/>
      </c>
      <c r="P13" t="inlineStr"/>
    </row>
    <row r="14">
      <c r="A14" s="26" t="n">
        <v>46241</v>
      </c>
      <c r="B14" t="inlineStr">
        <is>
          <t>planning</t>
        </is>
      </c>
      <c r="C14" t="inlineStr">
        <is>
          <t>architecture</t>
        </is>
      </c>
      <c r="D14" t="inlineStr"/>
      <c r="E14" t="inlineStr"/>
      <c r="F14" t="inlineStr">
        <is>
          <t>claude-opus-5-5</t>
        </is>
      </c>
      <c r="G14" t="inlineStr">
        <is>
          <t>claude-opus-5-5</t>
        </is>
      </c>
      <c r="H14" s="36" t="n">
        <v>69</v>
      </c>
      <c r="I14" s="36" t="n">
        <v>466</v>
      </c>
      <c r="J14" s="36" t="n">
        <v>282036</v>
      </c>
      <c r="K14" s="36" t="n">
        <v>30613</v>
      </c>
      <c r="L14" s="36" t="n">
        <v>12564245</v>
      </c>
      <c r="M14" s="36" t="n">
        <v>64279</v>
      </c>
      <c r="N14" s="14">
        <f>IFERROR((I14*VLOOKUP($G14,'Claude Prices'!$A$5:$G$22,3,FALSE)+J14*VLOOKUP($G14,'Claude Prices'!$A$5:$G$22,4,FALSE)+K14*VLOOKUP($G14,'Claude Prices'!$A$5:$G$22,5,FALSE)+L14*VLOOKUP($G14,'Claude Prices'!$A$5:$G$22,6,FALSE)+M14*VLOOKUP($G14,'Claude Prices'!$A$5:$G$22,7,FALSE))/1000000,0)</f>
        <v/>
      </c>
      <c r="O14" s="14">
        <f>N14*ClaudeFxRate</f>
        <v/>
      </c>
      <c r="P14" t="inlineStr"/>
    </row>
    <row r="15">
      <c r="A15" s="26" t="n">
        <v>46244</v>
      </c>
      <c r="B15" t="inlineStr">
        <is>
          <t>planning</t>
        </is>
      </c>
      <c r="C15" t="inlineStr">
        <is>
          <t>architecture</t>
        </is>
      </c>
      <c r="D15" t="inlineStr"/>
      <c r="E15" t="inlineStr"/>
      <c r="F15" t="inlineStr">
        <is>
          <t>claude-opus-5-5</t>
        </is>
      </c>
      <c r="G15" t="inlineStr">
        <is>
          <t>claude-opus-5-5</t>
        </is>
      </c>
      <c r="H15" s="36" t="n">
        <v>132</v>
      </c>
      <c r="I15" s="36" t="n">
        <v>781</v>
      </c>
      <c r="J15" s="36" t="n">
        <v>388193</v>
      </c>
      <c r="K15" s="36" t="n">
        <v>44724</v>
      </c>
      <c r="L15" s="36" t="n">
        <v>18611848</v>
      </c>
      <c r="M15" s="36" t="n">
        <v>102347</v>
      </c>
      <c r="N15" s="14">
        <f>IFERROR((I15*VLOOKUP($G15,'Claude Prices'!$A$5:$G$22,3,FALSE)+J15*VLOOKUP($G15,'Claude Prices'!$A$5:$G$22,4,FALSE)+K15*VLOOKUP($G15,'Claude Prices'!$A$5:$G$22,5,FALSE)+L15*VLOOKUP($G15,'Claude Prices'!$A$5:$G$22,6,FALSE)+M15*VLOOKUP($G15,'Claude Prices'!$A$5:$G$22,7,FALSE))/1000000,0)</f>
        <v/>
      </c>
      <c r="O15" s="14">
        <f>N15*ClaudeFxRate</f>
        <v/>
      </c>
      <c r="P15" t="inlineStr"/>
    </row>
    <row r="16">
      <c r="A16" s="26" t="n">
        <v>46244</v>
      </c>
      <c r="B16" t="inlineStr">
        <is>
          <t>planning</t>
        </is>
      </c>
      <c r="C16" t="inlineStr">
        <is>
          <t>UX design</t>
        </is>
      </c>
      <c r="D16" t="inlineStr"/>
      <c r="E16" t="inlineStr"/>
      <c r="F16" t="inlineStr">
        <is>
          <t>claude-opus-5-5</t>
        </is>
      </c>
      <c r="G16" t="inlineStr">
        <is>
          <t>claude-opus-5-5</t>
        </is>
      </c>
      <c r="H16" s="36" t="n">
        <v>100</v>
      </c>
      <c r="I16" s="36" t="n">
        <v>753</v>
      </c>
      <c r="J16" s="36" t="n">
        <v>329945</v>
      </c>
      <c r="K16" s="36" t="n">
        <v>34242</v>
      </c>
      <c r="L16" s="36" t="n">
        <v>14554576</v>
      </c>
      <c r="M16" s="36" t="n">
        <v>85704</v>
      </c>
      <c r="N16" s="14">
        <f>IFERROR((I16*VLOOKUP($G16,'Claude Prices'!$A$5:$G$22,3,FALSE)+J16*VLOOKUP($G16,'Claude Prices'!$A$5:$G$22,4,FALSE)+K16*VLOOKUP($G16,'Claude Prices'!$A$5:$G$22,5,FALSE)+L16*VLOOKUP($G16,'Claude Prices'!$A$5:$G$22,6,FALSE)+M16*VLOOKUP($G16,'Claude Prices'!$A$5:$G$22,7,FALSE))/1000000,0)</f>
        <v/>
      </c>
      <c r="O16" s="14">
        <f>N16*ClaudeFxRate</f>
        <v/>
      </c>
      <c r="P16" t="inlineStr"/>
    </row>
    <row r="17">
      <c r="A17" s="26" t="n">
        <v>46245</v>
      </c>
      <c r="B17" t="inlineStr">
        <is>
          <t>planning</t>
        </is>
      </c>
      <c r="C17" t="inlineStr">
        <is>
          <t>architecture</t>
        </is>
      </c>
      <c r="D17" t="inlineStr"/>
      <c r="E17" t="inlineStr"/>
      <c r="F17" t="inlineStr">
        <is>
          <t>claude-opus-5-5</t>
        </is>
      </c>
      <c r="G17" t="inlineStr">
        <is>
          <t>claude-opus-5-5</t>
        </is>
      </c>
      <c r="H17" s="36" t="n">
        <v>148</v>
      </c>
      <c r="I17" s="36" t="n">
        <v>763</v>
      </c>
      <c r="J17" s="36" t="n">
        <v>465725</v>
      </c>
      <c r="K17" s="36" t="n">
        <v>54305</v>
      </c>
      <c r="L17" s="36" t="n">
        <v>21437905</v>
      </c>
      <c r="M17" s="36" t="n">
        <v>131667</v>
      </c>
      <c r="N17" s="14">
        <f>IFERROR((I17*VLOOKUP($G17,'Claude Prices'!$A$5:$G$22,3,FALSE)+J17*VLOOKUP($G17,'Claude Prices'!$A$5:$G$22,4,FALSE)+K17*VLOOKUP($G17,'Claude Prices'!$A$5:$G$22,5,FALSE)+L17*VLOOKUP($G17,'Claude Prices'!$A$5:$G$22,6,FALSE)+M17*VLOOKUP($G17,'Claude Prices'!$A$5:$G$22,7,FALSE))/1000000,0)</f>
        <v/>
      </c>
      <c r="O17" s="14">
        <f>N17*ClaudeFxRate</f>
        <v/>
      </c>
      <c r="P17" t="inlineStr"/>
    </row>
    <row r="18">
      <c r="A18" s="26" t="n">
        <v>46245</v>
      </c>
      <c r="B18" t="inlineStr">
        <is>
          <t>planning</t>
        </is>
      </c>
      <c r="C18" t="inlineStr">
        <is>
          <t>UX design</t>
        </is>
      </c>
      <c r="D18" t="inlineStr"/>
      <c r="E18" t="inlineStr"/>
      <c r="F18" t="inlineStr">
        <is>
          <t>claude-opus-5-5</t>
        </is>
      </c>
      <c r="G18" t="inlineStr">
        <is>
          <t>claude-opus-5-5</t>
        </is>
      </c>
      <c r="H18" s="36" t="n">
        <v>94</v>
      </c>
      <c r="I18" s="36" t="n">
        <v>589</v>
      </c>
      <c r="J18" s="36" t="n">
        <v>327222</v>
      </c>
      <c r="K18" s="36" t="n">
        <v>37832</v>
      </c>
      <c r="L18" s="36" t="n">
        <v>15081315</v>
      </c>
      <c r="M18" s="36" t="n">
        <v>101513</v>
      </c>
      <c r="N18" s="14">
        <f>IFERROR((I18*VLOOKUP($G18,'Claude Prices'!$A$5:$G$22,3,FALSE)+J18*VLOOKUP($G18,'Claude Prices'!$A$5:$G$22,4,FALSE)+K18*VLOOKUP($G18,'Claude Prices'!$A$5:$G$22,5,FALSE)+L18*VLOOKUP($G18,'Claude Prices'!$A$5:$G$22,6,FALSE)+M18*VLOOKUP($G18,'Claude Prices'!$A$5:$G$22,7,FALSE))/1000000,0)</f>
        <v/>
      </c>
      <c r="O18" s="14">
        <f>N18*ClaudeFxRate</f>
        <v/>
      </c>
      <c r="P18" t="inlineStr"/>
    </row>
    <row r="19">
      <c r="A19" s="26" t="n">
        <v>46246</v>
      </c>
      <c r="B19" t="inlineStr">
        <is>
          <t>planning</t>
        </is>
      </c>
      <c r="C19" t="inlineStr">
        <is>
          <t>architecture</t>
        </is>
      </c>
      <c r="D19" t="inlineStr"/>
      <c r="E19" t="inlineStr"/>
      <c r="F19" t="inlineStr">
        <is>
          <t>claude-opus-5-5</t>
        </is>
      </c>
      <c r="G19" t="inlineStr">
        <is>
          <t>claude-opus-5-5</t>
        </is>
      </c>
      <c r="H19" s="36" t="n">
        <v>82</v>
      </c>
      <c r="I19" s="36" t="n">
        <v>522</v>
      </c>
      <c r="J19" s="36" t="n">
        <v>239706</v>
      </c>
      <c r="K19" s="36" t="n">
        <v>25588</v>
      </c>
      <c r="L19" s="36" t="n">
        <v>11946283</v>
      </c>
      <c r="M19" s="36" t="n">
        <v>65724</v>
      </c>
      <c r="N19" s="14">
        <f>IFERROR((I19*VLOOKUP($G19,'Claude Prices'!$A$5:$G$22,3,FALSE)+J19*VLOOKUP($G19,'Claude Prices'!$A$5:$G$22,4,FALSE)+K19*VLOOKUP($G19,'Claude Prices'!$A$5:$G$22,5,FALSE)+L19*VLOOKUP($G19,'Claude Prices'!$A$5:$G$22,6,FALSE)+M19*VLOOKUP($G19,'Claude Prices'!$A$5:$G$22,7,FALSE))/1000000,0)</f>
        <v/>
      </c>
      <c r="O19" s="14">
        <f>N19*ClaudeFxRate</f>
        <v/>
      </c>
      <c r="P19" t="inlineStr"/>
    </row>
    <row r="20">
      <c r="A20" s="26" t="n">
        <v>46246</v>
      </c>
      <c r="B20" t="inlineStr">
        <is>
          <t>planning</t>
        </is>
      </c>
      <c r="C20" t="inlineStr">
        <is>
          <t>UX design</t>
        </is>
      </c>
      <c r="D20" t="inlineStr"/>
      <c r="E20" t="inlineStr"/>
      <c r="F20" t="inlineStr">
        <is>
          <t>claude-opus-5-5</t>
        </is>
      </c>
      <c r="G20" t="inlineStr">
        <is>
          <t>claude-opus-5-5</t>
        </is>
      </c>
      <c r="H20" s="36" t="n">
        <v>100</v>
      </c>
      <c r="I20" s="36" t="n">
        <v>575</v>
      </c>
      <c r="J20" s="36" t="n">
        <v>371283</v>
      </c>
      <c r="K20" s="36" t="n">
        <v>39616</v>
      </c>
      <c r="L20" s="36" t="n">
        <v>16730844</v>
      </c>
      <c r="M20" s="36" t="n">
        <v>97800</v>
      </c>
      <c r="N20" s="14">
        <f>IFERROR((I20*VLOOKUP($G20,'Claude Prices'!$A$5:$G$22,3,FALSE)+J20*VLOOKUP($G20,'Claude Prices'!$A$5:$G$22,4,FALSE)+K20*VLOOKUP($G20,'Claude Prices'!$A$5:$G$22,5,FALSE)+L20*VLOOKUP($G20,'Claude Prices'!$A$5:$G$22,6,FALSE)+M20*VLOOKUP($G20,'Claude Prices'!$A$5:$G$22,7,FALSE))/1000000,0)</f>
        <v/>
      </c>
      <c r="O20" s="14">
        <f>N20*ClaudeFxRate</f>
        <v/>
      </c>
      <c r="P20" t="inlineStr"/>
    </row>
    <row r="21">
      <c r="A21" s="26" t="n">
        <v>46247</v>
      </c>
      <c r="B21" t="inlineStr">
        <is>
          <t>planning</t>
        </is>
      </c>
      <c r="C21" t="inlineStr">
        <is>
          <t>architecture</t>
        </is>
      </c>
      <c r="D21" t="inlineStr"/>
      <c r="E21" t="inlineStr"/>
      <c r="F21" t="inlineStr">
        <is>
          <t>claude-opus-5-5</t>
        </is>
      </c>
      <c r="G21" t="inlineStr">
        <is>
          <t>claude-opus-5-5</t>
        </is>
      </c>
      <c r="H21" s="36" t="n">
        <v>132</v>
      </c>
      <c r="I21" s="36" t="n">
        <v>722</v>
      </c>
      <c r="J21" s="36" t="n">
        <v>443926</v>
      </c>
      <c r="K21" s="36" t="n">
        <v>46639</v>
      </c>
      <c r="L21" s="36" t="n">
        <v>20244016</v>
      </c>
      <c r="M21" s="36" t="n">
        <v>109109</v>
      </c>
      <c r="N21" s="14">
        <f>IFERROR((I21*VLOOKUP($G21,'Claude Prices'!$A$5:$G$22,3,FALSE)+J21*VLOOKUP($G21,'Claude Prices'!$A$5:$G$22,4,FALSE)+K21*VLOOKUP($G21,'Claude Prices'!$A$5:$G$22,5,FALSE)+L21*VLOOKUP($G21,'Claude Prices'!$A$5:$G$22,6,FALSE)+M21*VLOOKUP($G21,'Claude Prices'!$A$5:$G$22,7,FALSE))/1000000,0)</f>
        <v/>
      </c>
      <c r="O21" s="14">
        <f>N21*ClaudeFxRate</f>
        <v/>
      </c>
      <c r="P21" t="inlineStr"/>
    </row>
    <row r="22">
      <c r="A22" s="26" t="n">
        <v>46247</v>
      </c>
      <c r="B22" t="inlineStr">
        <is>
          <t>planning</t>
        </is>
      </c>
      <c r="C22" t="inlineStr">
        <is>
          <t>UX design</t>
        </is>
      </c>
      <c r="D22" t="inlineStr"/>
      <c r="E22" t="inlineStr"/>
      <c r="F22" t="inlineStr">
        <is>
          <t>claude-opus-5-5</t>
        </is>
      </c>
      <c r="G22" t="inlineStr">
        <is>
          <t>claude-opus-5-5</t>
        </is>
      </c>
      <c r="H22" s="36" t="n">
        <v>76</v>
      </c>
      <c r="I22" s="36" t="n">
        <v>464</v>
      </c>
      <c r="J22" s="36" t="n">
        <v>255766</v>
      </c>
      <c r="K22" s="36" t="n">
        <v>27771</v>
      </c>
      <c r="L22" s="36" t="n">
        <v>12252024</v>
      </c>
      <c r="M22" s="36" t="n">
        <v>66866</v>
      </c>
      <c r="N22" s="14">
        <f>IFERROR((I22*VLOOKUP($G22,'Claude Prices'!$A$5:$G$22,3,FALSE)+J22*VLOOKUP($G22,'Claude Prices'!$A$5:$G$22,4,FALSE)+K22*VLOOKUP($G22,'Claude Prices'!$A$5:$G$22,5,FALSE)+L22*VLOOKUP($G22,'Claude Prices'!$A$5:$G$22,6,FALSE)+M22*VLOOKUP($G22,'Claude Prices'!$A$5:$G$22,7,FALSE))/1000000,0)</f>
        <v/>
      </c>
      <c r="O22" s="14">
        <f>N22*ClaudeFxRate</f>
        <v/>
      </c>
      <c r="P22" t="inlineStr"/>
    </row>
    <row r="23">
      <c r="A23" s="26" t="n">
        <v>46248</v>
      </c>
      <c r="B23" t="inlineStr">
        <is>
          <t>planning</t>
        </is>
      </c>
      <c r="C23" t="inlineStr">
        <is>
          <t>architecture</t>
        </is>
      </c>
      <c r="D23" t="inlineStr"/>
      <c r="E23" t="inlineStr"/>
      <c r="F23" t="inlineStr">
        <is>
          <t>claude-opus-5-5</t>
        </is>
      </c>
      <c r="G23" t="inlineStr">
        <is>
          <t>claude-opus-5-5</t>
        </is>
      </c>
      <c r="H23" s="36" t="n">
        <v>171</v>
      </c>
      <c r="I23" s="36" t="n">
        <v>979</v>
      </c>
      <c r="J23" s="36" t="n">
        <v>520527</v>
      </c>
      <c r="K23" s="36" t="n">
        <v>62653</v>
      </c>
      <c r="L23" s="36" t="n">
        <v>25132917</v>
      </c>
      <c r="M23" s="36" t="n">
        <v>149477</v>
      </c>
      <c r="N23" s="14">
        <f>IFERROR((I23*VLOOKUP($G23,'Claude Prices'!$A$5:$G$22,3,FALSE)+J23*VLOOKUP($G23,'Claude Prices'!$A$5:$G$22,4,FALSE)+K23*VLOOKUP($G23,'Claude Prices'!$A$5:$G$22,5,FALSE)+L23*VLOOKUP($G23,'Claude Prices'!$A$5:$G$22,6,FALSE)+M23*VLOOKUP($G23,'Claude Prices'!$A$5:$G$22,7,FALSE))/1000000,0)</f>
        <v/>
      </c>
      <c r="O23" s="14">
        <f>N23*ClaudeFxRate</f>
        <v/>
      </c>
      <c r="P23" t="inlineStr"/>
    </row>
    <row r="24">
      <c r="A24" s="26" t="n">
        <v>46248</v>
      </c>
      <c r="B24" t="inlineStr">
        <is>
          <t>planning</t>
        </is>
      </c>
      <c r="C24" t="inlineStr">
        <is>
          <t>UX design</t>
        </is>
      </c>
      <c r="D24" t="inlineStr"/>
      <c r="E24" t="inlineStr"/>
      <c r="F24" t="inlineStr">
        <is>
          <t>claude-opus-5-5</t>
        </is>
      </c>
      <c r="G24" t="inlineStr">
        <is>
          <t>claude-opus-5-5</t>
        </is>
      </c>
      <c r="H24" s="36" t="n">
        <v>61</v>
      </c>
      <c r="I24" s="36" t="n">
        <v>404</v>
      </c>
      <c r="J24" s="36" t="n">
        <v>196576</v>
      </c>
      <c r="K24" s="36" t="n">
        <v>21882</v>
      </c>
      <c r="L24" s="36" t="n">
        <v>9281760</v>
      </c>
      <c r="M24" s="36" t="n">
        <v>57623</v>
      </c>
      <c r="N24" s="14">
        <f>IFERROR((I24*VLOOKUP($G24,'Claude Prices'!$A$5:$G$22,3,FALSE)+J24*VLOOKUP($G24,'Claude Prices'!$A$5:$G$22,4,FALSE)+K24*VLOOKUP($G24,'Claude Prices'!$A$5:$G$22,5,FALSE)+L24*VLOOKUP($G24,'Claude Prices'!$A$5:$G$22,6,FALSE)+M24*VLOOKUP($G24,'Claude Prices'!$A$5:$G$22,7,FALSE))/1000000,0)</f>
        <v/>
      </c>
      <c r="O24" s="14">
        <f>N24*ClaudeFxRate</f>
        <v/>
      </c>
      <c r="P24" t="inlineStr"/>
    </row>
    <row r="25">
      <c r="A25" s="26" t="n">
        <v>46251</v>
      </c>
      <c r="B25" t="inlineStr">
        <is>
          <t>planning</t>
        </is>
      </c>
      <c r="C25" t="inlineStr">
        <is>
          <t>UX design</t>
        </is>
      </c>
      <c r="D25" t="inlineStr"/>
      <c r="E25" t="inlineStr"/>
      <c r="F25" t="inlineStr">
        <is>
          <t>claude-opus-5-5</t>
        </is>
      </c>
      <c r="G25" t="inlineStr">
        <is>
          <t>claude-opus-5-5</t>
        </is>
      </c>
      <c r="H25" s="36" t="n">
        <v>94</v>
      </c>
      <c r="I25" s="36" t="n">
        <v>559</v>
      </c>
      <c r="J25" s="36" t="n">
        <v>327532</v>
      </c>
      <c r="K25" s="36" t="n">
        <v>34843</v>
      </c>
      <c r="L25" s="36" t="n">
        <v>15582577</v>
      </c>
      <c r="M25" s="36" t="n">
        <v>93915</v>
      </c>
      <c r="N25" s="14">
        <f>IFERROR((I25*VLOOKUP($G25,'Claude Prices'!$A$5:$G$22,3,FALSE)+J25*VLOOKUP($G25,'Claude Prices'!$A$5:$G$22,4,FALSE)+K25*VLOOKUP($G25,'Claude Prices'!$A$5:$G$22,5,FALSE)+L25*VLOOKUP($G25,'Claude Prices'!$A$5:$G$22,6,FALSE)+M25*VLOOKUP($G25,'Claude Prices'!$A$5:$G$22,7,FALSE))/1000000,0)</f>
        <v/>
      </c>
      <c r="O25" s="14">
        <f>N25*ClaudeFxRate</f>
        <v/>
      </c>
      <c r="P25" t="inlineStr"/>
    </row>
    <row r="26">
      <c r="A26" s="26" t="n">
        <v>46251</v>
      </c>
      <c r="B26" t="inlineStr">
        <is>
          <t>planning</t>
        </is>
      </c>
      <c r="C26" t="inlineStr">
        <is>
          <t>governance (Jules)</t>
        </is>
      </c>
      <c r="D26" t="inlineStr"/>
      <c r="E26" t="inlineStr"/>
      <c r="F26" t="inlineStr">
        <is>
          <t>claude-opus-5-5</t>
        </is>
      </c>
      <c r="G26" t="inlineStr">
        <is>
          <t>claude-opus-5-5</t>
        </is>
      </c>
      <c r="H26" s="36" t="n">
        <v>46</v>
      </c>
      <c r="I26" s="36" t="n">
        <v>251</v>
      </c>
      <c r="J26" s="36" t="n">
        <v>157598</v>
      </c>
      <c r="K26" s="36" t="n">
        <v>18000</v>
      </c>
      <c r="L26" s="36" t="n">
        <v>7109442</v>
      </c>
      <c r="M26" s="36" t="n">
        <v>44660</v>
      </c>
      <c r="N26" s="14">
        <f>IFERROR((I26*VLOOKUP($G26,'Claude Prices'!$A$5:$G$22,3,FALSE)+J26*VLOOKUP($G26,'Claude Prices'!$A$5:$G$22,4,FALSE)+K26*VLOOKUP($G26,'Claude Prices'!$A$5:$G$22,5,FALSE)+L26*VLOOKUP($G26,'Claude Prices'!$A$5:$G$22,6,FALSE)+M26*VLOOKUP($G26,'Claude Prices'!$A$5:$G$22,7,FALSE))/1000000,0)</f>
        <v/>
      </c>
      <c r="O26" s="14">
        <f>N26*ClaudeFxRate</f>
        <v/>
      </c>
      <c r="P26" t="inlineStr"/>
    </row>
    <row r="27">
      <c r="A27" s="26" t="n">
        <v>46252</v>
      </c>
      <c r="B27" t="inlineStr">
        <is>
          <t>planning</t>
        </is>
      </c>
      <c r="C27" t="inlineStr">
        <is>
          <t>UX design</t>
        </is>
      </c>
      <c r="D27" t="inlineStr"/>
      <c r="E27" t="inlineStr"/>
      <c r="F27" t="inlineStr">
        <is>
          <t>claude-opus-5-5</t>
        </is>
      </c>
      <c r="G27" t="inlineStr">
        <is>
          <t>claude-opus-5-5</t>
        </is>
      </c>
      <c r="H27" s="36" t="n">
        <v>70</v>
      </c>
      <c r="I27" s="36" t="n">
        <v>372</v>
      </c>
      <c r="J27" s="36" t="n">
        <v>235608</v>
      </c>
      <c r="K27" s="36" t="n">
        <v>28551</v>
      </c>
      <c r="L27" s="36" t="n">
        <v>11137035</v>
      </c>
      <c r="M27" s="36" t="n">
        <v>66616</v>
      </c>
      <c r="N27" s="14">
        <f>IFERROR((I27*VLOOKUP($G27,'Claude Prices'!$A$5:$G$22,3,FALSE)+J27*VLOOKUP($G27,'Claude Prices'!$A$5:$G$22,4,FALSE)+K27*VLOOKUP($G27,'Claude Prices'!$A$5:$G$22,5,FALSE)+L27*VLOOKUP($G27,'Claude Prices'!$A$5:$G$22,6,FALSE)+M27*VLOOKUP($G27,'Claude Prices'!$A$5:$G$22,7,FALSE))/1000000,0)</f>
        <v/>
      </c>
      <c r="O27" s="14">
        <f>N27*ClaudeFxRate</f>
        <v/>
      </c>
      <c r="P27" t="inlineStr"/>
    </row>
    <row r="28">
      <c r="A28" s="26" t="n">
        <v>46252</v>
      </c>
      <c r="B28" t="inlineStr">
        <is>
          <t>planning</t>
        </is>
      </c>
      <c r="C28" t="inlineStr">
        <is>
          <t>governance (Jules)</t>
        </is>
      </c>
      <c r="D28" t="inlineStr"/>
      <c r="E28" t="inlineStr"/>
      <c r="F28" t="inlineStr">
        <is>
          <t>claude-opus-5-5</t>
        </is>
      </c>
      <c r="G28" t="inlineStr">
        <is>
          <t>claude-opus-5-5</t>
        </is>
      </c>
      <c r="H28" s="36" t="n">
        <v>46</v>
      </c>
      <c r="I28" s="36" t="n">
        <v>301</v>
      </c>
      <c r="J28" s="36" t="n">
        <v>166780</v>
      </c>
      <c r="K28" s="36" t="n">
        <v>17832</v>
      </c>
      <c r="L28" s="36" t="n">
        <v>8229155</v>
      </c>
      <c r="M28" s="36" t="n">
        <v>49835</v>
      </c>
      <c r="N28" s="14">
        <f>IFERROR((I28*VLOOKUP($G28,'Claude Prices'!$A$5:$G$22,3,FALSE)+J28*VLOOKUP($G28,'Claude Prices'!$A$5:$G$22,4,FALSE)+K28*VLOOKUP($G28,'Claude Prices'!$A$5:$G$22,5,FALSE)+L28*VLOOKUP($G28,'Claude Prices'!$A$5:$G$22,6,FALSE)+M28*VLOOKUP($G28,'Claude Prices'!$A$5:$G$22,7,FALSE))/1000000,0)</f>
        <v/>
      </c>
      <c r="O28" s="14">
        <f>N28*ClaudeFxRate</f>
        <v/>
      </c>
      <c r="P28" t="inlineStr"/>
    </row>
    <row r="29">
      <c r="A29" s="26" t="n">
        <v>46252</v>
      </c>
      <c r="B29" t="inlineStr">
        <is>
          <t>planning</t>
        </is>
      </c>
      <c r="C29" t="inlineStr">
        <is>
          <t>architecture docs (Da Vinci)</t>
        </is>
      </c>
      <c r="D29" t="inlineStr"/>
      <c r="E29" t="inlineStr"/>
      <c r="F29" t="inlineStr">
        <is>
          <t>claude-opus-5-5</t>
        </is>
      </c>
      <c r="G29" t="inlineStr">
        <is>
          <t>claude-opus-5-5</t>
        </is>
      </c>
      <c r="H29" s="36" t="n">
        <v>81</v>
      </c>
      <c r="I29" s="36" t="n">
        <v>562</v>
      </c>
      <c r="J29" s="36" t="n">
        <v>262081</v>
      </c>
      <c r="K29" s="36" t="n">
        <v>27177</v>
      </c>
      <c r="L29" s="36" t="n">
        <v>12295498</v>
      </c>
      <c r="M29" s="36" t="n">
        <v>70536</v>
      </c>
      <c r="N29" s="14">
        <f>IFERROR((I29*VLOOKUP($G29,'Claude Prices'!$A$5:$G$22,3,FALSE)+J29*VLOOKUP($G29,'Claude Prices'!$A$5:$G$22,4,FALSE)+K29*VLOOKUP($G29,'Claude Prices'!$A$5:$G$22,5,FALSE)+L29*VLOOKUP($G29,'Claude Prices'!$A$5:$G$22,6,FALSE)+M29*VLOOKUP($G29,'Claude Prices'!$A$5:$G$22,7,FALSE))/1000000,0)</f>
        <v/>
      </c>
      <c r="O29" s="14">
        <f>N29*ClaudeFxRate</f>
        <v/>
      </c>
      <c r="P29" t="inlineStr"/>
    </row>
    <row r="30">
      <c r="A30" s="26" t="n">
        <v>46253</v>
      </c>
      <c r="B30" t="inlineStr">
        <is>
          <t>planning</t>
        </is>
      </c>
      <c r="C30" t="inlineStr">
        <is>
          <t>UX design</t>
        </is>
      </c>
      <c r="D30" t="inlineStr"/>
      <c r="E30" t="inlineStr"/>
      <c r="F30" t="inlineStr">
        <is>
          <t>claude-opus-5-5</t>
        </is>
      </c>
      <c r="G30" t="inlineStr">
        <is>
          <t>claude-opus-5-5</t>
        </is>
      </c>
      <c r="H30" s="36" t="n">
        <v>115</v>
      </c>
      <c r="I30" s="36" t="n">
        <v>470</v>
      </c>
      <c r="J30" s="36" t="n">
        <v>330666</v>
      </c>
      <c r="K30" s="36" t="n">
        <v>40708</v>
      </c>
      <c r="L30" s="36" t="n">
        <v>15363802</v>
      </c>
      <c r="M30" s="36" t="n">
        <v>95045</v>
      </c>
      <c r="N30" s="14">
        <f>IFERROR((I30*VLOOKUP($G30,'Claude Prices'!$A$5:$G$22,3,FALSE)+J30*VLOOKUP($G30,'Claude Prices'!$A$5:$G$22,4,FALSE)+K30*VLOOKUP($G30,'Claude Prices'!$A$5:$G$22,5,FALSE)+L30*VLOOKUP($G30,'Claude Prices'!$A$5:$G$22,6,FALSE)+M30*VLOOKUP($G30,'Claude Prices'!$A$5:$G$22,7,FALSE))/1000000,0)</f>
        <v/>
      </c>
      <c r="O30" s="14">
        <f>N30*ClaudeFxRate</f>
        <v/>
      </c>
      <c r="P30" t="inlineStr"/>
    </row>
    <row r="31">
      <c r="A31" s="26" t="n">
        <v>46253</v>
      </c>
      <c r="B31" t="inlineStr">
        <is>
          <t>planning</t>
        </is>
      </c>
      <c r="C31" t="inlineStr">
        <is>
          <t>governance (Jules)</t>
        </is>
      </c>
      <c r="D31" t="inlineStr"/>
      <c r="E31" t="inlineStr"/>
      <c r="F31" t="inlineStr">
        <is>
          <t>claude-opus-5-5</t>
        </is>
      </c>
      <c r="G31" t="inlineStr">
        <is>
          <t>claude-opus-5-5</t>
        </is>
      </c>
      <c r="H31" s="36" t="n">
        <v>78</v>
      </c>
      <c r="I31" s="36" t="n">
        <v>390</v>
      </c>
      <c r="J31" s="36" t="n">
        <v>222864</v>
      </c>
      <c r="K31" s="36" t="n">
        <v>26681</v>
      </c>
      <c r="L31" s="36" t="n">
        <v>11598949</v>
      </c>
      <c r="M31" s="36" t="n">
        <v>64642</v>
      </c>
      <c r="N31" s="14">
        <f>IFERROR((I31*VLOOKUP($G31,'Claude Prices'!$A$5:$G$22,3,FALSE)+J31*VLOOKUP($G31,'Claude Prices'!$A$5:$G$22,4,FALSE)+K31*VLOOKUP($G31,'Claude Prices'!$A$5:$G$22,5,FALSE)+L31*VLOOKUP($G31,'Claude Prices'!$A$5:$G$22,6,FALSE)+M31*VLOOKUP($G31,'Claude Prices'!$A$5:$G$22,7,FALSE))/1000000,0)</f>
        <v/>
      </c>
      <c r="O31" s="14">
        <f>N31*ClaudeFxRate</f>
        <v/>
      </c>
      <c r="P31" t="inlineStr"/>
    </row>
    <row r="32">
      <c r="A32" s="26" t="n">
        <v>46253</v>
      </c>
      <c r="B32" t="inlineStr">
        <is>
          <t>planning</t>
        </is>
      </c>
      <c r="C32" t="inlineStr">
        <is>
          <t>architecture docs (Da Vinci)</t>
        </is>
      </c>
      <c r="D32" t="inlineStr"/>
      <c r="E32" t="inlineStr"/>
      <c r="F32" t="inlineStr">
        <is>
          <t>claude-opus-5-5</t>
        </is>
      </c>
      <c r="G32" t="inlineStr">
        <is>
          <t>claude-opus-5-5</t>
        </is>
      </c>
      <c r="H32" s="36" t="n">
        <v>60</v>
      </c>
      <c r="I32" s="36" t="n">
        <v>321</v>
      </c>
      <c r="J32" s="36" t="n">
        <v>226490</v>
      </c>
      <c r="K32" s="36" t="n">
        <v>23132</v>
      </c>
      <c r="L32" s="36" t="n">
        <v>9747865</v>
      </c>
      <c r="M32" s="36" t="n">
        <v>59328</v>
      </c>
      <c r="N32" s="14">
        <f>IFERROR((I32*VLOOKUP($G32,'Claude Prices'!$A$5:$G$22,3,FALSE)+J32*VLOOKUP($G32,'Claude Prices'!$A$5:$G$22,4,FALSE)+K32*VLOOKUP($G32,'Claude Prices'!$A$5:$G$22,5,FALSE)+L32*VLOOKUP($G32,'Claude Prices'!$A$5:$G$22,6,FALSE)+M32*VLOOKUP($G32,'Claude Prices'!$A$5:$G$22,7,FALSE))/1000000,0)</f>
        <v/>
      </c>
      <c r="O32" s="14">
        <f>N32*ClaudeFxRate</f>
        <v/>
      </c>
      <c r="P32" t="inlineStr"/>
    </row>
    <row r="33">
      <c r="A33" s="26" t="n">
        <v>46254</v>
      </c>
      <c r="B33" t="inlineStr">
        <is>
          <t>planning</t>
        </is>
      </c>
      <c r="C33" t="inlineStr">
        <is>
          <t>governance (Jules)</t>
        </is>
      </c>
      <c r="D33" t="inlineStr"/>
      <c r="E33" t="inlineStr"/>
      <c r="F33" t="inlineStr">
        <is>
          <t>claude-opus-5-5</t>
        </is>
      </c>
      <c r="G33" t="inlineStr">
        <is>
          <t>claude-opus-5-5</t>
        </is>
      </c>
      <c r="H33" s="36" t="n">
        <v>106</v>
      </c>
      <c r="I33" s="36" t="n">
        <v>560</v>
      </c>
      <c r="J33" s="36" t="n">
        <v>297386</v>
      </c>
      <c r="K33" s="36" t="n">
        <v>26906</v>
      </c>
      <c r="L33" s="36" t="n">
        <v>13927722</v>
      </c>
      <c r="M33" s="36" t="n">
        <v>76758</v>
      </c>
      <c r="N33" s="14">
        <f>IFERROR((I33*VLOOKUP($G33,'Claude Prices'!$A$5:$G$22,3,FALSE)+J33*VLOOKUP($G33,'Claude Prices'!$A$5:$G$22,4,FALSE)+K33*VLOOKUP($G33,'Claude Prices'!$A$5:$G$22,5,FALSE)+L33*VLOOKUP($G33,'Claude Prices'!$A$5:$G$22,6,FALSE)+M33*VLOOKUP($G33,'Claude Prices'!$A$5:$G$22,7,FALSE))/1000000,0)</f>
        <v/>
      </c>
      <c r="O33" s="14">
        <f>N33*ClaudeFxRate</f>
        <v/>
      </c>
      <c r="P33" t="inlineStr"/>
    </row>
    <row r="34">
      <c r="A34" s="26" t="n">
        <v>46254</v>
      </c>
      <c r="B34" t="inlineStr">
        <is>
          <t>planning</t>
        </is>
      </c>
      <c r="C34" t="inlineStr">
        <is>
          <t>architecture docs (Da Vinci)</t>
        </is>
      </c>
      <c r="D34" t="inlineStr"/>
      <c r="E34" t="inlineStr"/>
      <c r="F34" t="inlineStr">
        <is>
          <t>claude-opus-5-5</t>
        </is>
      </c>
      <c r="G34" t="inlineStr">
        <is>
          <t>claude-opus-5-5</t>
        </is>
      </c>
      <c r="H34" s="36" t="n">
        <v>84</v>
      </c>
      <c r="I34" s="36" t="n">
        <v>606</v>
      </c>
      <c r="J34" s="36" t="n">
        <v>317527</v>
      </c>
      <c r="K34" s="36" t="n">
        <v>35945</v>
      </c>
      <c r="L34" s="36" t="n">
        <v>13770749</v>
      </c>
      <c r="M34" s="36" t="n">
        <v>70015</v>
      </c>
      <c r="N34" s="14">
        <f>IFERROR((I34*VLOOKUP($G34,'Claude Prices'!$A$5:$G$22,3,FALSE)+J34*VLOOKUP($G34,'Claude Prices'!$A$5:$G$22,4,FALSE)+K34*VLOOKUP($G34,'Claude Prices'!$A$5:$G$22,5,FALSE)+L34*VLOOKUP($G34,'Claude Prices'!$A$5:$G$22,6,FALSE)+M34*VLOOKUP($G34,'Claude Prices'!$A$5:$G$22,7,FALSE))/1000000,0)</f>
        <v/>
      </c>
      <c r="O34" s="14">
        <f>N34*ClaudeFxRate</f>
        <v/>
      </c>
      <c r="P34" t="inlineStr"/>
    </row>
    <row r="35">
      <c r="A35" s="26" t="n">
        <v>46255</v>
      </c>
      <c r="B35" t="inlineStr">
        <is>
          <t>planning</t>
        </is>
      </c>
      <c r="C35" t="inlineStr">
        <is>
          <t>governance (Jules)</t>
        </is>
      </c>
      <c r="D35" t="inlineStr"/>
      <c r="E35" t="inlineStr"/>
      <c r="F35" t="inlineStr">
        <is>
          <t>claude-opus-5-5</t>
        </is>
      </c>
      <c r="G35" t="inlineStr">
        <is>
          <t>claude-opus-5-5</t>
        </is>
      </c>
      <c r="H35" s="36" t="n">
        <v>97</v>
      </c>
      <c r="I35" s="36" t="n">
        <v>419</v>
      </c>
      <c r="J35" s="36" t="n">
        <v>251652</v>
      </c>
      <c r="K35" s="36" t="n">
        <v>27593</v>
      </c>
      <c r="L35" s="36" t="n">
        <v>12039647</v>
      </c>
      <c r="M35" s="36" t="n">
        <v>77584</v>
      </c>
      <c r="N35" s="14">
        <f>IFERROR((I35*VLOOKUP($G35,'Claude Prices'!$A$5:$G$22,3,FALSE)+J35*VLOOKUP($G35,'Claude Prices'!$A$5:$G$22,4,FALSE)+K35*VLOOKUP($G35,'Claude Prices'!$A$5:$G$22,5,FALSE)+L35*VLOOKUP($G35,'Claude Prices'!$A$5:$G$22,6,FALSE)+M35*VLOOKUP($G35,'Claude Prices'!$A$5:$G$22,7,FALSE))/1000000,0)</f>
        <v/>
      </c>
      <c r="O35" s="14">
        <f>N35*ClaudeFxRate</f>
        <v/>
      </c>
      <c r="P35" t="inlineStr"/>
    </row>
    <row r="36">
      <c r="A36" s="26" t="n">
        <v>46255</v>
      </c>
      <c r="B36" t="inlineStr">
        <is>
          <t>planning</t>
        </is>
      </c>
      <c r="C36" t="inlineStr">
        <is>
          <t>architecture docs (Da Vinci)</t>
        </is>
      </c>
      <c r="D36" t="inlineStr"/>
      <c r="E36" t="inlineStr"/>
      <c r="F36" t="inlineStr">
        <is>
          <t>claude-opus-5-5</t>
        </is>
      </c>
      <c r="G36" t="inlineStr">
        <is>
          <t>claude-opus-5-5</t>
        </is>
      </c>
      <c r="H36" s="36" t="n">
        <v>44</v>
      </c>
      <c r="I36" s="36" t="n">
        <v>250</v>
      </c>
      <c r="J36" s="36" t="n">
        <v>125295</v>
      </c>
      <c r="K36" s="36" t="n">
        <v>14398</v>
      </c>
      <c r="L36" s="36" t="n">
        <v>6108395</v>
      </c>
      <c r="M36" s="36" t="n">
        <v>43922</v>
      </c>
      <c r="N36" s="14">
        <f>IFERROR((I36*VLOOKUP($G36,'Claude Prices'!$A$5:$G$22,3,FALSE)+J36*VLOOKUP($G36,'Claude Prices'!$A$5:$G$22,4,FALSE)+K36*VLOOKUP($G36,'Claude Prices'!$A$5:$G$22,5,FALSE)+L36*VLOOKUP($G36,'Claude Prices'!$A$5:$G$22,6,FALSE)+M36*VLOOKUP($G36,'Claude Prices'!$A$5:$G$22,7,FALSE))/1000000,0)</f>
        <v/>
      </c>
      <c r="O36" s="14">
        <f>N36*ClaudeFxRate</f>
        <v/>
      </c>
      <c r="P36" t="inlineStr"/>
    </row>
    <row r="37">
      <c r="A37" s="26" t="n">
        <v>46258</v>
      </c>
      <c r="B37" t="inlineStr">
        <is>
          <t>planning</t>
        </is>
      </c>
      <c r="C37" t="inlineStr">
        <is>
          <t>architecture docs (Da Vinci)</t>
        </is>
      </c>
      <c r="D37" t="inlineStr"/>
      <c r="E37" t="inlineStr"/>
      <c r="F37" t="inlineStr">
        <is>
          <t>claude-opus-5-5</t>
        </is>
      </c>
      <c r="G37" t="inlineStr">
        <is>
          <t>claude-opus-5-5</t>
        </is>
      </c>
      <c r="H37" s="36" t="n">
        <v>100</v>
      </c>
      <c r="I37" s="36" t="n">
        <v>565</v>
      </c>
      <c r="J37" s="36" t="n">
        <v>315117</v>
      </c>
      <c r="K37" s="36" t="n">
        <v>36459</v>
      </c>
      <c r="L37" s="36" t="n">
        <v>14730425</v>
      </c>
      <c r="M37" s="36" t="n">
        <v>93789</v>
      </c>
      <c r="N37" s="14">
        <f>IFERROR((I37*VLOOKUP($G37,'Claude Prices'!$A$5:$G$22,3,FALSE)+J37*VLOOKUP($G37,'Claude Prices'!$A$5:$G$22,4,FALSE)+K37*VLOOKUP($G37,'Claude Prices'!$A$5:$G$22,5,FALSE)+L37*VLOOKUP($G37,'Claude Prices'!$A$5:$G$22,6,FALSE)+M37*VLOOKUP($G37,'Claude Prices'!$A$5:$G$22,7,FALSE))/1000000,0)</f>
        <v/>
      </c>
      <c r="O37" s="14">
        <f>N37*ClaudeFxRate</f>
        <v/>
      </c>
      <c r="P37" t="inlineStr"/>
    </row>
    <row r="38">
      <c r="A38" s="26" t="n">
        <v>46258</v>
      </c>
      <c r="B38" t="inlineStr">
        <is>
          <t>planning</t>
        </is>
      </c>
      <c r="C38" t="inlineStr">
        <is>
          <t>epics &amp; stories</t>
        </is>
      </c>
      <c r="D38" t="inlineStr"/>
      <c r="E38" t="inlineStr"/>
      <c r="F38" t="inlineStr">
        <is>
          <t>claude-opus-5-5</t>
        </is>
      </c>
      <c r="G38" t="inlineStr">
        <is>
          <t>claude-opus-5-5</t>
        </is>
      </c>
      <c r="H38" s="36" t="n">
        <v>120</v>
      </c>
      <c r="I38" s="36" t="n">
        <v>745</v>
      </c>
      <c r="J38" s="36" t="n">
        <v>419296</v>
      </c>
      <c r="K38" s="36" t="n">
        <v>52593</v>
      </c>
      <c r="L38" s="36" t="n">
        <v>19827151</v>
      </c>
      <c r="M38" s="36" t="n">
        <v>113428</v>
      </c>
      <c r="N38" s="14">
        <f>IFERROR((I38*VLOOKUP($G38,'Claude Prices'!$A$5:$G$22,3,FALSE)+J38*VLOOKUP($G38,'Claude Prices'!$A$5:$G$22,4,FALSE)+K38*VLOOKUP($G38,'Claude Prices'!$A$5:$G$22,5,FALSE)+L38*VLOOKUP($G38,'Claude Prices'!$A$5:$G$22,6,FALSE)+M38*VLOOKUP($G38,'Claude Prices'!$A$5:$G$22,7,FALSE))/1000000,0)</f>
        <v/>
      </c>
      <c r="O38" s="14">
        <f>N38*ClaudeFxRate</f>
        <v/>
      </c>
      <c r="P38" t="inlineStr"/>
    </row>
    <row r="39">
      <c r="A39" s="26" t="n">
        <v>46259</v>
      </c>
      <c r="B39" t="inlineStr">
        <is>
          <t>planning</t>
        </is>
      </c>
      <c r="C39" t="inlineStr">
        <is>
          <t>epics &amp; stories</t>
        </is>
      </c>
      <c r="D39" t="inlineStr"/>
      <c r="E39" t="inlineStr"/>
      <c r="F39" t="inlineStr">
        <is>
          <t>claude-opus-5-5</t>
        </is>
      </c>
      <c r="G39" t="inlineStr">
        <is>
          <t>claude-opus-5-5</t>
        </is>
      </c>
      <c r="H39" s="36" t="n">
        <v>164</v>
      </c>
      <c r="I39" s="36" t="n">
        <v>1183</v>
      </c>
      <c r="J39" s="36" t="n">
        <v>509645</v>
      </c>
      <c r="K39" s="36" t="n">
        <v>54562</v>
      </c>
      <c r="L39" s="36" t="n">
        <v>23821402</v>
      </c>
      <c r="M39" s="36" t="n">
        <v>157684</v>
      </c>
      <c r="N39" s="14">
        <f>IFERROR((I39*VLOOKUP($G39,'Claude Prices'!$A$5:$G$22,3,FALSE)+J39*VLOOKUP($G39,'Claude Prices'!$A$5:$G$22,4,FALSE)+K39*VLOOKUP($G39,'Claude Prices'!$A$5:$G$22,5,FALSE)+L39*VLOOKUP($G39,'Claude Prices'!$A$5:$G$22,6,FALSE)+M39*VLOOKUP($G39,'Claude Prices'!$A$5:$G$22,7,FALSE))/1000000,0)</f>
        <v/>
      </c>
      <c r="O39" s="14">
        <f>N39*ClaudeFxRate</f>
        <v/>
      </c>
      <c r="P39" t="inlineStr"/>
    </row>
    <row r="40">
      <c r="A40" s="26" t="n">
        <v>46259</v>
      </c>
      <c r="B40" t="inlineStr">
        <is>
          <t>story</t>
        </is>
      </c>
      <c r="C40" t="inlineStr">
        <is>
          <t>PORTAL-111</t>
        </is>
      </c>
      <c r="D40" t="inlineStr">
        <is>
          <t>2.5</t>
        </is>
      </c>
      <c r="E40" t="inlineStr">
        <is>
          <t>Payment creation with maker-checker approval and execution</t>
        </is>
      </c>
      <c r="F40" t="inlineStr">
        <is>
          <t>claude-opus-5-5</t>
        </is>
      </c>
      <c r="G40" t="inlineStr">
        <is>
          <t>claude-opus-5-5</t>
        </is>
      </c>
      <c r="H40" s="36" t="n">
        <v>20</v>
      </c>
      <c r="I40" s="36" t="n">
        <v>90</v>
      </c>
      <c r="J40" s="36" t="n">
        <v>57544</v>
      </c>
      <c r="K40" s="36" t="n">
        <v>6553</v>
      </c>
      <c r="L40" s="36" t="n">
        <v>2710803</v>
      </c>
      <c r="M40" s="36" t="n">
        <v>14873</v>
      </c>
      <c r="N40" s="14">
        <f>IFERROR((I40*VLOOKUP($G40,'Claude Prices'!$A$5:$G$22,3,FALSE)+J40*VLOOKUP($G40,'Claude Prices'!$A$5:$G$22,4,FALSE)+K40*VLOOKUP($G40,'Claude Prices'!$A$5:$G$22,5,FALSE)+L40*VLOOKUP($G40,'Claude Prices'!$A$5:$G$22,6,FALSE)+M40*VLOOKUP($G40,'Claude Prices'!$A$5:$G$22,7,FALSE))/1000000,0)</f>
        <v/>
      </c>
      <c r="O40" s="14">
        <f>N40*ClaudeFxRate</f>
        <v/>
      </c>
      <c r="P40" t="inlineStr"/>
    </row>
    <row r="41">
      <c r="A41" s="26" t="n">
        <v>46259</v>
      </c>
      <c r="B41" t="inlineStr">
        <is>
          <t>story</t>
        </is>
      </c>
      <c r="C41" t="inlineStr">
        <is>
          <t>PORTAL-114</t>
        </is>
      </c>
      <c r="D41" t="inlineStr">
        <is>
          <t>3.2</t>
        </is>
      </c>
      <c r="E41" t="inlineStr">
        <is>
          <t>Outbox relay from the SQL ledger to Event Hubs</t>
        </is>
      </c>
      <c r="F41" t="inlineStr">
        <is>
          <t>claude-opus-5-5</t>
        </is>
      </c>
      <c r="G41" t="inlineStr">
        <is>
          <t>claude-opus-5-5</t>
        </is>
      </c>
      <c r="H41" s="36" t="n">
        <v>10</v>
      </c>
      <c r="I41" s="36" t="n">
        <v>72</v>
      </c>
      <c r="J41" s="36" t="n">
        <v>31119</v>
      </c>
      <c r="K41" s="36" t="n">
        <v>3700</v>
      </c>
      <c r="L41" s="36" t="n">
        <v>1374125</v>
      </c>
      <c r="M41" s="36" t="n">
        <v>8714</v>
      </c>
      <c r="N41" s="14">
        <f>IFERROR((I41*VLOOKUP($G41,'Claude Prices'!$A$5:$G$22,3,FALSE)+J41*VLOOKUP($G41,'Claude Prices'!$A$5:$G$22,4,FALSE)+K41*VLOOKUP($G41,'Claude Prices'!$A$5:$G$22,5,FALSE)+L41*VLOOKUP($G41,'Claude Prices'!$A$5:$G$22,6,FALSE)+M41*VLOOKUP($G41,'Claude Prices'!$A$5:$G$22,7,FALSE))/1000000,0)</f>
        <v/>
      </c>
      <c r="O41" s="14">
        <f>N41*ClaudeFxRate</f>
        <v/>
      </c>
      <c r="P41" t="inlineStr"/>
    </row>
    <row r="42">
      <c r="A42" s="26" t="n">
        <v>46259</v>
      </c>
      <c r="B42" t="inlineStr">
        <is>
          <t>story</t>
        </is>
      </c>
      <c r="C42" t="inlineStr">
        <is>
          <t>PORTAL-117</t>
        </is>
      </c>
      <c r="D42" t="inlineStr">
        <is>
          <t>3.5</t>
        </is>
      </c>
      <c r="E42" t="inlineStr">
        <is>
          <t>Behind-the-scenes stage panel</t>
        </is>
      </c>
      <c r="F42" t="inlineStr">
        <is>
          <t>claude-opus-5-5</t>
        </is>
      </c>
      <c r="G42" t="inlineStr">
        <is>
          <t>claude-opus-5-5</t>
        </is>
      </c>
      <c r="H42" s="36" t="n">
        <v>16</v>
      </c>
      <c r="I42" s="36" t="n">
        <v>118</v>
      </c>
      <c r="J42" s="36" t="n">
        <v>47657</v>
      </c>
      <c r="K42" s="36" t="n">
        <v>5900</v>
      </c>
      <c r="L42" s="36" t="n">
        <v>2104710</v>
      </c>
      <c r="M42" s="36" t="n">
        <v>10964</v>
      </c>
      <c r="N42" s="14">
        <f>IFERROR((I42*VLOOKUP($G42,'Claude Prices'!$A$5:$G$22,3,FALSE)+J42*VLOOKUP($G42,'Claude Prices'!$A$5:$G$22,4,FALSE)+K42*VLOOKUP($G42,'Claude Prices'!$A$5:$G$22,5,FALSE)+L42*VLOOKUP($G42,'Claude Prices'!$A$5:$G$22,6,FALSE)+M42*VLOOKUP($G42,'Claude Prices'!$A$5:$G$22,7,FALSE))/1000000,0)</f>
        <v/>
      </c>
      <c r="O42" s="14">
        <f>N42*ClaudeFxRate</f>
        <v/>
      </c>
      <c r="P42" t="inlineStr"/>
    </row>
    <row r="43">
      <c r="A43" s="26" t="n">
        <v>46259</v>
      </c>
      <c r="B43" t="inlineStr">
        <is>
          <t>story</t>
        </is>
      </c>
      <c r="C43" t="inlineStr">
        <is>
          <t>PORTAL-119</t>
        </is>
      </c>
      <c r="D43" t="inlineStr">
        <is>
          <t>4.2</t>
        </is>
      </c>
      <c r="E43" t="inlineStr">
        <is>
          <t>Cash forecast model tracked in MLflow and registered in Unity Catalog</t>
        </is>
      </c>
      <c r="F43" t="inlineStr">
        <is>
          <t>claude-opus-5-5</t>
        </is>
      </c>
      <c r="G43" t="inlineStr">
        <is>
          <t>claude-opus-5-5</t>
        </is>
      </c>
      <c r="H43" s="36" t="n">
        <v>9</v>
      </c>
      <c r="I43" s="36" t="n">
        <v>62</v>
      </c>
      <c r="J43" s="36" t="n">
        <v>30854</v>
      </c>
      <c r="K43" s="36" t="n">
        <v>3083</v>
      </c>
      <c r="L43" s="36" t="n">
        <v>1403160</v>
      </c>
      <c r="M43" s="36" t="n">
        <v>8503</v>
      </c>
      <c r="N43" s="14">
        <f>IFERROR((I43*VLOOKUP($G43,'Claude Prices'!$A$5:$G$22,3,FALSE)+J43*VLOOKUP($G43,'Claude Prices'!$A$5:$G$22,4,FALSE)+K43*VLOOKUP($G43,'Claude Prices'!$A$5:$G$22,5,FALSE)+L43*VLOOKUP($G43,'Claude Prices'!$A$5:$G$22,6,FALSE)+M43*VLOOKUP($G43,'Claude Prices'!$A$5:$G$22,7,FALSE))/1000000,0)</f>
        <v/>
      </c>
      <c r="O43" s="14">
        <f>N43*ClaudeFxRate</f>
        <v/>
      </c>
      <c r="P43" t="inlineStr"/>
    </row>
    <row r="44">
      <c r="A44" s="26" t="n">
        <v>46259</v>
      </c>
      <c r="B44" t="inlineStr">
        <is>
          <t>story</t>
        </is>
      </c>
      <c r="C44" t="inlineStr">
        <is>
          <t>PORTAL-121</t>
        </is>
      </c>
      <c r="D44" t="inlineStr">
        <is>
          <t>4.4</t>
        </is>
      </c>
      <c r="E44" t="inlineStr">
        <is>
          <t>Batch scoring into forecasts and anomalies tables</t>
        </is>
      </c>
      <c r="F44" t="inlineStr">
        <is>
          <t>claude-opus-5-5</t>
        </is>
      </c>
      <c r="G44" t="inlineStr">
        <is>
          <t>claude-opus-5-5</t>
        </is>
      </c>
      <c r="H44" s="36" t="n">
        <v>18</v>
      </c>
      <c r="I44" s="36" t="n">
        <v>69</v>
      </c>
      <c r="J44" s="36" t="n">
        <v>48045</v>
      </c>
      <c r="K44" s="36" t="n">
        <v>6264</v>
      </c>
      <c r="L44" s="36" t="n">
        <v>2478204</v>
      </c>
      <c r="M44" s="36" t="n">
        <v>17017</v>
      </c>
      <c r="N44" s="14">
        <f>IFERROR((I44*VLOOKUP($G44,'Claude Prices'!$A$5:$G$22,3,FALSE)+J44*VLOOKUP($G44,'Claude Prices'!$A$5:$G$22,4,FALSE)+K44*VLOOKUP($G44,'Claude Prices'!$A$5:$G$22,5,FALSE)+L44*VLOOKUP($G44,'Claude Prices'!$A$5:$G$22,6,FALSE)+M44*VLOOKUP($G44,'Claude Prices'!$A$5:$G$22,7,FALSE))/1000000,0)</f>
        <v/>
      </c>
      <c r="O44" s="14">
        <f>N44*ClaudeFxRate</f>
        <v/>
      </c>
      <c r="P44" t="inlineStr"/>
    </row>
    <row r="45">
      <c r="A45" s="26" t="n">
        <v>46259</v>
      </c>
      <c r="B45" t="inlineStr">
        <is>
          <t>story</t>
        </is>
      </c>
      <c r="C45" t="inlineStr">
        <is>
          <t>PORTAL-123</t>
        </is>
      </c>
      <c r="D45" t="inlineStr">
        <is>
          <t>5.1</t>
        </is>
      </c>
      <c r="E45" t="inlineStr">
        <is>
          <t>Region-2 AKS from the same Terraform module</t>
        </is>
      </c>
      <c r="F45" t="inlineStr">
        <is>
          <t>claude-opus-5-5</t>
        </is>
      </c>
      <c r="G45" t="inlineStr">
        <is>
          <t>claude-opus-5-5</t>
        </is>
      </c>
      <c r="H45" s="36" t="n">
        <v>14</v>
      </c>
      <c r="I45" s="36" t="n">
        <v>110</v>
      </c>
      <c r="J45" s="36" t="n">
        <v>47293</v>
      </c>
      <c r="K45" s="36" t="n">
        <v>6727</v>
      </c>
      <c r="L45" s="36" t="n">
        <v>2257245</v>
      </c>
      <c r="M45" s="36" t="n">
        <v>16564</v>
      </c>
      <c r="N45" s="14">
        <f>IFERROR((I45*VLOOKUP($G45,'Claude Prices'!$A$5:$G$22,3,FALSE)+J45*VLOOKUP($G45,'Claude Prices'!$A$5:$G$22,4,FALSE)+K45*VLOOKUP($G45,'Claude Prices'!$A$5:$G$22,5,FALSE)+L45*VLOOKUP($G45,'Claude Prices'!$A$5:$G$22,6,FALSE)+M45*VLOOKUP($G45,'Claude Prices'!$A$5:$G$22,7,FALSE))/1000000,0)</f>
        <v/>
      </c>
      <c r="O45" s="14">
        <f>N45*ClaudeFxRate</f>
        <v/>
      </c>
      <c r="P45" t="inlineStr"/>
    </row>
    <row r="46">
      <c r="A46" s="26" t="n">
        <v>46259</v>
      </c>
      <c r="B46" t="inlineStr">
        <is>
          <t>story</t>
        </is>
      </c>
      <c r="C46" t="inlineStr">
        <is>
          <t>PORTAL-124</t>
        </is>
      </c>
      <c r="D46" t="inlineStr">
        <is>
          <t>5.2</t>
        </is>
      </c>
      <c r="E46" t="inlineStr">
        <is>
          <t>Front Door origins, health probes and Front Door-only ingress</t>
        </is>
      </c>
      <c r="F46" t="inlineStr">
        <is>
          <t>claude-opus-5-5</t>
        </is>
      </c>
      <c r="G46" t="inlineStr">
        <is>
          <t>claude-opus-5-5</t>
        </is>
      </c>
      <c r="H46" s="36" t="n">
        <v>13</v>
      </c>
      <c r="I46" s="36" t="n">
        <v>51</v>
      </c>
      <c r="J46" s="36" t="n">
        <v>36120</v>
      </c>
      <c r="K46" s="36" t="n">
        <v>4785</v>
      </c>
      <c r="L46" s="36" t="n">
        <v>1590908</v>
      </c>
      <c r="M46" s="36" t="n">
        <v>11049</v>
      </c>
      <c r="N46" s="14">
        <f>IFERROR((I46*VLOOKUP($G46,'Claude Prices'!$A$5:$G$22,3,FALSE)+J46*VLOOKUP($G46,'Claude Prices'!$A$5:$G$22,4,FALSE)+K46*VLOOKUP($G46,'Claude Prices'!$A$5:$G$22,5,FALSE)+L46*VLOOKUP($G46,'Claude Prices'!$A$5:$G$22,6,FALSE)+M46*VLOOKUP($G46,'Claude Prices'!$A$5:$G$22,7,FALSE))/1000000,0)</f>
        <v/>
      </c>
      <c r="O46" s="14">
        <f>N46*ClaudeFxRate</f>
        <v/>
      </c>
      <c r="P46" t="inlineStr"/>
    </row>
    <row r="47">
      <c r="A47" s="26" t="n">
        <v>46259</v>
      </c>
      <c r="B47" t="inlineStr">
        <is>
          <t>story</t>
        </is>
      </c>
      <c r="C47" t="inlineStr">
        <is>
          <t>PORTAL-126</t>
        </is>
      </c>
      <c r="D47" t="inlineStr">
        <is>
          <t>5.4</t>
        </is>
      </c>
      <c r="E47" t="inlineStr">
        <is>
          <t>Grafana requests-per-second by region</t>
        </is>
      </c>
      <c r="F47" t="inlineStr">
        <is>
          <t>claude-opus-5-5</t>
        </is>
      </c>
      <c r="G47" t="inlineStr">
        <is>
          <t>claude-opus-5-5</t>
        </is>
      </c>
      <c r="H47" s="36" t="n">
        <v>13</v>
      </c>
      <c r="I47" s="36" t="n">
        <v>75</v>
      </c>
      <c r="J47" s="36" t="n">
        <v>48527</v>
      </c>
      <c r="K47" s="36" t="n">
        <v>5417</v>
      </c>
      <c r="L47" s="36" t="n">
        <v>2117224</v>
      </c>
      <c r="M47" s="36" t="n">
        <v>12626</v>
      </c>
      <c r="N47" s="14">
        <f>IFERROR((I47*VLOOKUP($G47,'Claude Prices'!$A$5:$G$22,3,FALSE)+J47*VLOOKUP($G47,'Claude Prices'!$A$5:$G$22,4,FALSE)+K47*VLOOKUP($G47,'Claude Prices'!$A$5:$G$22,5,FALSE)+L47*VLOOKUP($G47,'Claude Prices'!$A$5:$G$22,6,FALSE)+M47*VLOOKUP($G47,'Claude Prices'!$A$5:$G$22,7,FALSE))/1000000,0)</f>
        <v/>
      </c>
      <c r="O47" s="14">
        <f>N47*ClaudeFxRate</f>
        <v/>
      </c>
      <c r="P47" t="inlineStr"/>
    </row>
    <row r="48">
      <c r="A48" s="26" t="n">
        <v>46259</v>
      </c>
      <c r="B48" t="inlineStr">
        <is>
          <t>story</t>
        </is>
      </c>
      <c r="C48" t="inlineStr">
        <is>
          <t>PORTAL-127</t>
        </is>
      </c>
      <c r="D48" t="inlineStr">
        <is>
          <t>5.5</t>
        </is>
      </c>
      <c r="E48" t="inlineStr">
        <is>
          <t>Regional failover drill and runbook</t>
        </is>
      </c>
      <c r="F48" t="inlineStr">
        <is>
          <t>claude-opus-5-5</t>
        </is>
      </c>
      <c r="G48" t="inlineStr">
        <is>
          <t>claude-opus-5-5</t>
        </is>
      </c>
      <c r="H48" s="36" t="n">
        <v>14</v>
      </c>
      <c r="I48" s="36" t="n">
        <v>134</v>
      </c>
      <c r="J48" s="36" t="n">
        <v>48954</v>
      </c>
      <c r="K48" s="36" t="n">
        <v>5608</v>
      </c>
      <c r="L48" s="36" t="n">
        <v>2442046</v>
      </c>
      <c r="M48" s="36" t="n">
        <v>14448</v>
      </c>
      <c r="N48" s="14">
        <f>IFERROR((I48*VLOOKUP($G48,'Claude Prices'!$A$5:$G$22,3,FALSE)+J48*VLOOKUP($G48,'Claude Prices'!$A$5:$G$22,4,FALSE)+K48*VLOOKUP($G48,'Claude Prices'!$A$5:$G$22,5,FALSE)+L48*VLOOKUP($G48,'Claude Prices'!$A$5:$G$22,6,FALSE)+M48*VLOOKUP($G48,'Claude Prices'!$A$5:$G$22,7,FALSE))/1000000,0)</f>
        <v/>
      </c>
      <c r="O48" s="14">
        <f>N48*ClaudeFxRate</f>
        <v/>
      </c>
      <c r="P48" t="inlineStr"/>
    </row>
    <row r="49">
      <c r="A49" s="26" t="n">
        <v>46259</v>
      </c>
      <c r="B49" t="inlineStr">
        <is>
          <t>story</t>
        </is>
      </c>
      <c r="C49" t="inlineStr">
        <is>
          <t>PORTAL-128</t>
        </is>
      </c>
      <c r="D49" t="inlineStr">
        <is>
          <t>6.1</t>
        </is>
      </c>
      <c r="E49" t="inlineStr">
        <is>
          <t>Security controls evidence pack for the CISO review</t>
        </is>
      </c>
      <c r="F49" t="inlineStr">
        <is>
          <t>claude-opus-5-5</t>
        </is>
      </c>
      <c r="G49" t="inlineStr">
        <is>
          <t>claude-opus-5-5</t>
        </is>
      </c>
      <c r="H49" s="36" t="n">
        <v>15</v>
      </c>
      <c r="I49" s="36" t="n">
        <v>117</v>
      </c>
      <c r="J49" s="36" t="n">
        <v>54291</v>
      </c>
      <c r="K49" s="36" t="n">
        <v>6229</v>
      </c>
      <c r="L49" s="36" t="n">
        <v>2641089</v>
      </c>
      <c r="M49" s="36" t="n">
        <v>13996</v>
      </c>
      <c r="N49" s="14">
        <f>IFERROR((I49*VLOOKUP($G49,'Claude Prices'!$A$5:$G$22,3,FALSE)+J49*VLOOKUP($G49,'Claude Prices'!$A$5:$G$22,4,FALSE)+K49*VLOOKUP($G49,'Claude Prices'!$A$5:$G$22,5,FALSE)+L49*VLOOKUP($G49,'Claude Prices'!$A$5:$G$22,6,FALSE)+M49*VLOOKUP($G49,'Claude Prices'!$A$5:$G$22,7,FALSE))/1000000,0)</f>
        <v/>
      </c>
      <c r="O49" s="14">
        <f>N49*ClaudeFxRate</f>
        <v/>
      </c>
      <c r="P49" t="inlineStr"/>
    </row>
    <row r="50">
      <c r="A50" s="26" t="n">
        <v>46259</v>
      </c>
      <c r="B50" t="inlineStr">
        <is>
          <t>story</t>
        </is>
      </c>
      <c r="C50" t="inlineStr">
        <is>
          <t>PORTAL-131</t>
        </is>
      </c>
      <c r="D50" t="inlineStr">
        <is>
          <t>6.4</t>
        </is>
      </c>
      <c r="E50" t="inlineStr">
        <is>
          <t>CAB approval, production cut-over and hypercare</t>
        </is>
      </c>
      <c r="F50" t="inlineStr">
        <is>
          <t>claude-opus-5-5</t>
        </is>
      </c>
      <c r="G50" t="inlineStr">
        <is>
          <t>claude-opus-5-5</t>
        </is>
      </c>
      <c r="H50" s="36" t="n">
        <v>15</v>
      </c>
      <c r="I50" s="36" t="n">
        <v>95</v>
      </c>
      <c r="J50" s="36" t="n">
        <v>43160</v>
      </c>
      <c r="K50" s="36" t="n">
        <v>4790</v>
      </c>
      <c r="L50" s="36" t="n">
        <v>2214174</v>
      </c>
      <c r="M50" s="36" t="n">
        <v>16918</v>
      </c>
      <c r="N50" s="14">
        <f>IFERROR((I50*VLOOKUP($G50,'Claude Prices'!$A$5:$G$22,3,FALSE)+J50*VLOOKUP($G50,'Claude Prices'!$A$5:$G$22,4,FALSE)+K50*VLOOKUP($G50,'Claude Prices'!$A$5:$G$22,5,FALSE)+L50*VLOOKUP($G50,'Claude Prices'!$A$5:$G$22,6,FALSE)+M50*VLOOKUP($G50,'Claude Prices'!$A$5:$G$22,7,FALSE))/1000000,0)</f>
        <v/>
      </c>
      <c r="O50" s="14">
        <f>N50*ClaudeFxRate</f>
        <v/>
      </c>
      <c r="P50" t="inlineStr"/>
    </row>
    <row r="51">
      <c r="A51" s="26" t="n">
        <v>46260</v>
      </c>
      <c r="B51" t="inlineStr">
        <is>
          <t>planning</t>
        </is>
      </c>
      <c r="C51" t="inlineStr">
        <is>
          <t>epics &amp; stories</t>
        </is>
      </c>
      <c r="D51" t="inlineStr"/>
      <c r="E51" t="inlineStr"/>
      <c r="F51" t="inlineStr">
        <is>
          <t>claude-opus-5-5</t>
        </is>
      </c>
      <c r="G51" t="inlineStr">
        <is>
          <t>claude-opus-5-5</t>
        </is>
      </c>
      <c r="H51" s="36" t="n">
        <v>182</v>
      </c>
      <c r="I51" s="36" t="n">
        <v>849</v>
      </c>
      <c r="J51" s="36" t="n">
        <v>546788</v>
      </c>
      <c r="K51" s="36" t="n">
        <v>64133</v>
      </c>
      <c r="L51" s="36" t="n">
        <v>25647872</v>
      </c>
      <c r="M51" s="36" t="n">
        <v>130488</v>
      </c>
      <c r="N51" s="14">
        <f>IFERROR((I51*VLOOKUP($G51,'Claude Prices'!$A$5:$G$22,3,FALSE)+J51*VLOOKUP($G51,'Claude Prices'!$A$5:$G$22,4,FALSE)+K51*VLOOKUP($G51,'Claude Prices'!$A$5:$G$22,5,FALSE)+L51*VLOOKUP($G51,'Claude Prices'!$A$5:$G$22,6,FALSE)+M51*VLOOKUP($G51,'Claude Prices'!$A$5:$G$22,7,FALSE))/1000000,0)</f>
        <v/>
      </c>
      <c r="O51" s="14">
        <f>N51*ClaudeFxRate</f>
        <v/>
      </c>
      <c r="P51" t="inlineStr"/>
    </row>
    <row r="52">
      <c r="A52" s="26" t="n">
        <v>46260</v>
      </c>
      <c r="B52" t="inlineStr">
        <is>
          <t>story</t>
        </is>
      </c>
      <c r="C52" t="inlineStr">
        <is>
          <t>PORTAL-115</t>
        </is>
      </c>
      <c r="D52" t="inlineStr">
        <is>
          <t>3.3</t>
        </is>
      </c>
      <c r="E52" t="inlineStr">
        <is>
          <t>Bronze ingestion from the Event Hubs Kafka endpoint</t>
        </is>
      </c>
      <c r="F52" t="inlineStr">
        <is>
          <t>claude-opus-5-5</t>
        </is>
      </c>
      <c r="G52" t="inlineStr">
        <is>
          <t>claude-opus-5-5</t>
        </is>
      </c>
      <c r="H52" s="36" t="n">
        <v>16</v>
      </c>
      <c r="I52" s="36" t="n">
        <v>106</v>
      </c>
      <c r="J52" s="36" t="n">
        <v>46803</v>
      </c>
      <c r="K52" s="36" t="n">
        <v>5534</v>
      </c>
      <c r="L52" s="36" t="n">
        <v>2271940</v>
      </c>
      <c r="M52" s="36" t="n">
        <v>15080</v>
      </c>
      <c r="N52" s="14">
        <f>IFERROR((I52*VLOOKUP($G52,'Claude Prices'!$A$5:$G$22,3,FALSE)+J52*VLOOKUP($G52,'Claude Prices'!$A$5:$G$22,4,FALSE)+K52*VLOOKUP($G52,'Claude Prices'!$A$5:$G$22,5,FALSE)+L52*VLOOKUP($G52,'Claude Prices'!$A$5:$G$22,6,FALSE)+M52*VLOOKUP($G52,'Claude Prices'!$A$5:$G$22,7,FALSE))/1000000,0)</f>
        <v/>
      </c>
      <c r="O52" s="14">
        <f>N52*ClaudeFxRate</f>
        <v/>
      </c>
      <c r="P52" t="inlineStr"/>
    </row>
    <row r="53">
      <c r="A53" s="26" t="n">
        <v>46260</v>
      </c>
      <c r="B53" t="inlineStr">
        <is>
          <t>story</t>
        </is>
      </c>
      <c r="C53" t="inlineStr">
        <is>
          <t>PORTAL-116</t>
        </is>
      </c>
      <c r="D53" t="inlineStr">
        <is>
          <t>3.4</t>
        </is>
      </c>
      <c r="E53" t="inlineStr">
        <is>
          <t>Silver and gold Delta transforms with serving-schema write-back</t>
        </is>
      </c>
      <c r="F53" t="inlineStr">
        <is>
          <t>claude-opus-5-5</t>
        </is>
      </c>
      <c r="G53" t="inlineStr">
        <is>
          <t>claude-opus-5-5</t>
        </is>
      </c>
      <c r="H53" s="36" t="n">
        <v>13</v>
      </c>
      <c r="I53" s="36" t="n">
        <v>109</v>
      </c>
      <c r="J53" s="36" t="n">
        <v>48679</v>
      </c>
      <c r="K53" s="36" t="n">
        <v>5933</v>
      </c>
      <c r="L53" s="36" t="n">
        <v>2293063</v>
      </c>
      <c r="M53" s="36" t="n">
        <v>10145</v>
      </c>
      <c r="N53" s="14">
        <f>IFERROR((I53*VLOOKUP($G53,'Claude Prices'!$A$5:$G$22,3,FALSE)+J53*VLOOKUP($G53,'Claude Prices'!$A$5:$G$22,4,FALSE)+K53*VLOOKUP($G53,'Claude Prices'!$A$5:$G$22,5,FALSE)+L53*VLOOKUP($G53,'Claude Prices'!$A$5:$G$22,6,FALSE)+M53*VLOOKUP($G53,'Claude Prices'!$A$5:$G$22,7,FALSE))/1000000,0)</f>
        <v/>
      </c>
      <c r="O53" s="14">
        <f>N53*ClaudeFxRate</f>
        <v/>
      </c>
      <c r="P53" t="inlineStr"/>
    </row>
    <row r="54">
      <c r="A54" s="26" t="n">
        <v>46260</v>
      </c>
      <c r="B54" t="inlineStr">
        <is>
          <t>story</t>
        </is>
      </c>
      <c r="C54" t="inlineStr">
        <is>
          <t>PORTAL-120</t>
        </is>
      </c>
      <c r="D54" t="inlineStr">
        <is>
          <t>4.3</t>
        </is>
      </c>
      <c r="E54" t="inlineStr">
        <is>
          <t>Isolation Forest payment anomaly detection</t>
        </is>
      </c>
      <c r="F54" t="inlineStr">
        <is>
          <t>claude-opus-5-5</t>
        </is>
      </c>
      <c r="G54" t="inlineStr">
        <is>
          <t>claude-opus-5-5</t>
        </is>
      </c>
      <c r="H54" s="36" t="n">
        <v>19</v>
      </c>
      <c r="I54" s="36" t="n">
        <v>94</v>
      </c>
      <c r="J54" s="36" t="n">
        <v>57618</v>
      </c>
      <c r="K54" s="36" t="n">
        <v>6622</v>
      </c>
      <c r="L54" s="36" t="n">
        <v>2712777</v>
      </c>
      <c r="M54" s="36" t="n">
        <v>14386</v>
      </c>
      <c r="N54" s="14">
        <f>IFERROR((I54*VLOOKUP($G54,'Claude Prices'!$A$5:$G$22,3,FALSE)+J54*VLOOKUP($G54,'Claude Prices'!$A$5:$G$22,4,FALSE)+K54*VLOOKUP($G54,'Claude Prices'!$A$5:$G$22,5,FALSE)+L54*VLOOKUP($G54,'Claude Prices'!$A$5:$G$22,6,FALSE)+M54*VLOOKUP($G54,'Claude Prices'!$A$5:$G$22,7,FALSE))/1000000,0)</f>
        <v/>
      </c>
      <c r="O54" s="14">
        <f>N54*ClaudeFxRate</f>
        <v/>
      </c>
      <c r="P54" t="inlineStr"/>
    </row>
    <row r="55">
      <c r="A55" s="26" t="n">
        <v>46260</v>
      </c>
      <c r="B55" t="inlineStr">
        <is>
          <t>story</t>
        </is>
      </c>
      <c r="C55" t="inlineStr">
        <is>
          <t>PORTAL-129</t>
        </is>
      </c>
      <c r="D55" t="inlineStr">
        <is>
          <t>6.2</t>
        </is>
      </c>
      <c r="E55" t="inlineStr">
        <is>
          <t>PDPA data-protection assessment and penetration test remediation</t>
        </is>
      </c>
      <c r="F55" t="inlineStr">
        <is>
          <t>claude-opus-5-5</t>
        </is>
      </c>
      <c r="G55" t="inlineStr">
        <is>
          <t>claude-opus-5-5</t>
        </is>
      </c>
      <c r="H55" s="36" t="n">
        <v>16</v>
      </c>
      <c r="I55" s="36" t="n">
        <v>48</v>
      </c>
      <c r="J55" s="36" t="n">
        <v>46669</v>
      </c>
      <c r="K55" s="36" t="n">
        <v>4208</v>
      </c>
      <c r="L55" s="36" t="n">
        <v>2028847</v>
      </c>
      <c r="M55" s="36" t="n">
        <v>13387</v>
      </c>
      <c r="N55" s="14">
        <f>IFERROR((I55*VLOOKUP($G55,'Claude Prices'!$A$5:$G$22,3,FALSE)+J55*VLOOKUP($G55,'Claude Prices'!$A$5:$G$22,4,FALSE)+K55*VLOOKUP($G55,'Claude Prices'!$A$5:$G$22,5,FALSE)+L55*VLOOKUP($G55,'Claude Prices'!$A$5:$G$22,6,FALSE)+M55*VLOOKUP($G55,'Claude Prices'!$A$5:$G$22,7,FALSE))/1000000,0)</f>
        <v/>
      </c>
      <c r="O55" s="14">
        <f>N55*ClaudeFxRate</f>
        <v/>
      </c>
      <c r="P55" t="inlineStr"/>
    </row>
    <row r="56">
      <c r="A56" s="26" t="n">
        <v>46260</v>
      </c>
      <c r="B56" t="inlineStr">
        <is>
          <t>story</t>
        </is>
      </c>
      <c r="C56" t="inlineStr">
        <is>
          <t>PORTAL-130</t>
        </is>
      </c>
      <c r="D56" t="inlineStr">
        <is>
          <t>6.3</t>
        </is>
      </c>
      <c r="E56" t="inlineStr">
        <is>
          <t>UAT with Group Treasury and business sign-off</t>
        </is>
      </c>
      <c r="F56" t="inlineStr">
        <is>
          <t>claude-opus-5-5</t>
        </is>
      </c>
      <c r="G56" t="inlineStr">
        <is>
          <t>claude-opus-5-5</t>
        </is>
      </c>
      <c r="H56" s="36" t="n">
        <v>14</v>
      </c>
      <c r="I56" s="36" t="n">
        <v>87</v>
      </c>
      <c r="J56" s="36" t="n">
        <v>45760</v>
      </c>
      <c r="K56" s="36" t="n">
        <v>5179</v>
      </c>
      <c r="L56" s="36" t="n">
        <v>2082456</v>
      </c>
      <c r="M56" s="36" t="n">
        <v>8342</v>
      </c>
      <c r="N56" s="14">
        <f>IFERROR((I56*VLOOKUP($G56,'Claude Prices'!$A$5:$G$22,3,FALSE)+J56*VLOOKUP($G56,'Claude Prices'!$A$5:$G$22,4,FALSE)+K56*VLOOKUP($G56,'Claude Prices'!$A$5:$G$22,5,FALSE)+L56*VLOOKUP($G56,'Claude Prices'!$A$5:$G$22,6,FALSE)+M56*VLOOKUP($G56,'Claude Prices'!$A$5:$G$22,7,FALSE))/1000000,0)</f>
        <v/>
      </c>
      <c r="O56" s="14">
        <f>N56*ClaudeFxRate</f>
        <v/>
      </c>
      <c r="P56" t="inlineStr"/>
    </row>
    <row r="57">
      <c r="A57" s="26" t="n">
        <v>46261</v>
      </c>
      <c r="B57" t="inlineStr">
        <is>
          <t>planning</t>
        </is>
      </c>
      <c r="C57" t="inlineStr">
        <is>
          <t>epics &amp; stories</t>
        </is>
      </c>
      <c r="D57" t="inlineStr"/>
      <c r="E57" t="inlineStr"/>
      <c r="F57" t="inlineStr">
        <is>
          <t>claude-opus-5-5</t>
        </is>
      </c>
      <c r="G57" t="inlineStr">
        <is>
          <t>claude-opus-5-5</t>
        </is>
      </c>
      <c r="H57" s="36" t="n">
        <v>123</v>
      </c>
      <c r="I57" s="36" t="n">
        <v>871</v>
      </c>
      <c r="J57" s="36" t="n">
        <v>360823</v>
      </c>
      <c r="K57" s="36" t="n">
        <v>43843</v>
      </c>
      <c r="L57" s="36" t="n">
        <v>17811235</v>
      </c>
      <c r="M57" s="36" t="n">
        <v>108032</v>
      </c>
      <c r="N57" s="14">
        <f>IFERROR((I57*VLOOKUP($G57,'Claude Prices'!$A$5:$G$22,3,FALSE)+J57*VLOOKUP($G57,'Claude Prices'!$A$5:$G$22,4,FALSE)+K57*VLOOKUP($G57,'Claude Prices'!$A$5:$G$22,5,FALSE)+L57*VLOOKUP($G57,'Claude Prices'!$A$5:$G$22,6,FALSE)+M57*VLOOKUP($G57,'Claude Prices'!$A$5:$G$22,7,FALSE))/1000000,0)</f>
        <v/>
      </c>
      <c r="O57" s="14">
        <f>N57*ClaudeFxRate</f>
        <v/>
      </c>
      <c r="P57" t="inlineStr"/>
    </row>
    <row r="58">
      <c r="A58" s="26" t="n">
        <v>46261</v>
      </c>
      <c r="B58" t="inlineStr">
        <is>
          <t>story</t>
        </is>
      </c>
      <c r="C58" t="inlineStr">
        <is>
          <t>PORTAL-112</t>
        </is>
      </c>
      <c r="D58" t="inlineStr">
        <is>
          <t>2.6</t>
        </is>
      </c>
      <c r="E58" t="inlineStr">
        <is>
          <t>Portal chrome: region badge, synthetic-data banner and error states</t>
        </is>
      </c>
      <c r="F58" t="inlineStr">
        <is>
          <t>claude-opus-5-5</t>
        </is>
      </c>
      <c r="G58" t="inlineStr">
        <is>
          <t>claude-opus-5-5</t>
        </is>
      </c>
      <c r="H58" s="36" t="n">
        <v>16</v>
      </c>
      <c r="I58" s="36" t="n">
        <v>79</v>
      </c>
      <c r="J58" s="36" t="n">
        <v>51347</v>
      </c>
      <c r="K58" s="36" t="n">
        <v>4158</v>
      </c>
      <c r="L58" s="36" t="n">
        <v>2238077</v>
      </c>
      <c r="M58" s="36" t="n">
        <v>14180</v>
      </c>
      <c r="N58" s="14">
        <f>IFERROR((I58*VLOOKUP($G58,'Claude Prices'!$A$5:$G$22,3,FALSE)+J58*VLOOKUP($G58,'Claude Prices'!$A$5:$G$22,4,FALSE)+K58*VLOOKUP($G58,'Claude Prices'!$A$5:$G$22,5,FALSE)+L58*VLOOKUP($G58,'Claude Prices'!$A$5:$G$22,6,FALSE)+M58*VLOOKUP($G58,'Claude Prices'!$A$5:$G$22,7,FALSE))/1000000,0)</f>
        <v/>
      </c>
      <c r="O58" s="14">
        <f>N58*ClaudeFxRate</f>
        <v/>
      </c>
      <c r="P58" t="inlineStr"/>
    </row>
    <row r="59">
      <c r="A59" s="26" t="n">
        <v>46261</v>
      </c>
      <c r="B59" t="inlineStr">
        <is>
          <t>story</t>
        </is>
      </c>
      <c r="C59" t="inlineStr">
        <is>
          <t>PORTAL-113</t>
        </is>
      </c>
      <c r="D59" t="inlineStr">
        <is>
          <t>3.1</t>
        </is>
      </c>
      <c r="E59" t="inlineStr">
        <is>
          <t>Seeded synthetic world: companies, payroll cycles, suppliers and planted anomalies</t>
        </is>
      </c>
      <c r="F59" t="inlineStr">
        <is>
          <t>claude-opus-5-5</t>
        </is>
      </c>
      <c r="G59" t="inlineStr">
        <is>
          <t>claude-opus-5-5</t>
        </is>
      </c>
      <c r="H59" s="36" t="n">
        <v>19</v>
      </c>
      <c r="I59" s="36" t="n">
        <v>109</v>
      </c>
      <c r="J59" s="36" t="n">
        <v>58655</v>
      </c>
      <c r="K59" s="36" t="n">
        <v>5445</v>
      </c>
      <c r="L59" s="36" t="n">
        <v>2606398</v>
      </c>
      <c r="M59" s="36" t="n">
        <v>16111</v>
      </c>
      <c r="N59" s="14">
        <f>IFERROR((I59*VLOOKUP($G59,'Claude Prices'!$A$5:$G$22,3,FALSE)+J59*VLOOKUP($G59,'Claude Prices'!$A$5:$G$22,4,FALSE)+K59*VLOOKUP($G59,'Claude Prices'!$A$5:$G$22,5,FALSE)+L59*VLOOKUP($G59,'Claude Prices'!$A$5:$G$22,6,FALSE)+M59*VLOOKUP($G59,'Claude Prices'!$A$5:$G$22,7,FALSE))/1000000,0)</f>
        <v/>
      </c>
      <c r="O59" s="14">
        <f>N59*ClaudeFxRate</f>
        <v/>
      </c>
      <c r="P59" t="inlineStr"/>
    </row>
    <row r="60">
      <c r="A60" s="26" t="n">
        <v>46261</v>
      </c>
      <c r="B60" t="inlineStr">
        <is>
          <t>story</t>
        </is>
      </c>
      <c r="C60" t="inlineStr">
        <is>
          <t>PORTAL-118</t>
        </is>
      </c>
      <c r="D60" t="inlineStr">
        <is>
          <t>4.1</t>
        </is>
      </c>
      <c r="E60" t="inlineStr">
        <is>
          <t>Unity Catalog lineage from gold back to the Event Hubs source</t>
        </is>
      </c>
      <c r="F60" t="inlineStr">
        <is>
          <t>claude-opus-5-5</t>
        </is>
      </c>
      <c r="G60" t="inlineStr">
        <is>
          <t>claude-opus-5-5</t>
        </is>
      </c>
      <c r="H60" s="36" t="n">
        <v>11</v>
      </c>
      <c r="I60" s="36" t="n">
        <v>86</v>
      </c>
      <c r="J60" s="36" t="n">
        <v>41416</v>
      </c>
      <c r="K60" s="36" t="n">
        <v>4593</v>
      </c>
      <c r="L60" s="36" t="n">
        <v>1938969</v>
      </c>
      <c r="M60" s="36" t="n">
        <v>10805</v>
      </c>
      <c r="N60" s="14">
        <f>IFERROR((I60*VLOOKUP($G60,'Claude Prices'!$A$5:$G$22,3,FALSE)+J60*VLOOKUP($G60,'Claude Prices'!$A$5:$G$22,4,FALSE)+K60*VLOOKUP($G60,'Claude Prices'!$A$5:$G$22,5,FALSE)+L60*VLOOKUP($G60,'Claude Prices'!$A$5:$G$22,6,FALSE)+M60*VLOOKUP($G60,'Claude Prices'!$A$5:$G$22,7,FALSE))/1000000,0)</f>
        <v/>
      </c>
      <c r="O60" s="14">
        <f>N60*ClaudeFxRate</f>
        <v/>
      </c>
      <c r="P60" t="inlineStr"/>
    </row>
    <row r="61">
      <c r="A61" s="26" t="n">
        <v>46261</v>
      </c>
      <c r="B61" t="inlineStr">
        <is>
          <t>story</t>
        </is>
      </c>
      <c r="C61" t="inlineStr">
        <is>
          <t>PORTAL-122</t>
        </is>
      </c>
      <c r="D61" t="inlineStr">
        <is>
          <t>4.5</t>
        </is>
      </c>
      <c r="E61" t="inlineStr">
        <is>
          <t>Forecast screen and anomaly flags in the portal</t>
        </is>
      </c>
      <c r="F61" t="inlineStr">
        <is>
          <t>claude-opus-5-5</t>
        </is>
      </c>
      <c r="G61" t="inlineStr">
        <is>
          <t>claude-opus-5-5</t>
        </is>
      </c>
      <c r="H61" s="36" t="n">
        <v>11</v>
      </c>
      <c r="I61" s="36" t="n">
        <v>62</v>
      </c>
      <c r="J61" s="36" t="n">
        <v>34832</v>
      </c>
      <c r="K61" s="36" t="n">
        <v>3620</v>
      </c>
      <c r="L61" s="36" t="n">
        <v>1689013</v>
      </c>
      <c r="M61" s="36" t="n">
        <v>10153</v>
      </c>
      <c r="N61" s="14">
        <f>IFERROR((I61*VLOOKUP($G61,'Claude Prices'!$A$5:$G$22,3,FALSE)+J61*VLOOKUP($G61,'Claude Prices'!$A$5:$G$22,4,FALSE)+K61*VLOOKUP($G61,'Claude Prices'!$A$5:$G$22,5,FALSE)+L61*VLOOKUP($G61,'Claude Prices'!$A$5:$G$22,6,FALSE)+M61*VLOOKUP($G61,'Claude Prices'!$A$5:$G$22,7,FALSE))/1000000,0)</f>
        <v/>
      </c>
      <c r="O61" s="14">
        <f>N61*ClaudeFxRate</f>
        <v/>
      </c>
      <c r="P61" t="inlineStr"/>
    </row>
    <row r="62">
      <c r="A62" s="26" t="n">
        <v>46261</v>
      </c>
      <c r="B62" t="inlineStr">
        <is>
          <t>story</t>
        </is>
      </c>
      <c r="C62" t="inlineStr">
        <is>
          <t>PORTAL-125</t>
        </is>
      </c>
      <c r="D62" t="inlineStr">
        <is>
          <t>5.3</t>
        </is>
      </c>
      <c r="E62" t="inlineStr">
        <is>
          <t>SQL failover group behind a Terraform flag</t>
        </is>
      </c>
      <c r="F62" t="inlineStr">
        <is>
          <t>claude-opus-5-5</t>
        </is>
      </c>
      <c r="G62" t="inlineStr">
        <is>
          <t>claude-opus-5-5</t>
        </is>
      </c>
      <c r="H62" s="36" t="n">
        <v>15</v>
      </c>
      <c r="I62" s="36" t="n">
        <v>79</v>
      </c>
      <c r="J62" s="36" t="n">
        <v>51280</v>
      </c>
      <c r="K62" s="36" t="n">
        <v>5066</v>
      </c>
      <c r="L62" s="36" t="n">
        <v>2473649</v>
      </c>
      <c r="M62" s="36" t="n">
        <v>12558</v>
      </c>
      <c r="N62" s="14">
        <f>IFERROR((I62*VLOOKUP($G62,'Claude Prices'!$A$5:$G$22,3,FALSE)+J62*VLOOKUP($G62,'Claude Prices'!$A$5:$G$22,4,FALSE)+K62*VLOOKUP($G62,'Claude Prices'!$A$5:$G$22,5,FALSE)+L62*VLOOKUP($G62,'Claude Prices'!$A$5:$G$22,6,FALSE)+M62*VLOOKUP($G62,'Claude Prices'!$A$5:$G$22,7,FALSE))/1000000,0)</f>
        <v/>
      </c>
      <c r="O62" s="14">
        <f>N62*ClaudeFxRate</f>
        <v/>
      </c>
      <c r="P62" t="inlineStr"/>
    </row>
    <row r="63">
      <c r="A63" s="26" t="n">
        <v>46265</v>
      </c>
      <c r="B63" t="inlineStr">
        <is>
          <t>story</t>
        </is>
      </c>
      <c r="C63" t="inlineStr">
        <is>
          <t>PORTAL-101</t>
        </is>
      </c>
      <c r="D63" t="inlineStr">
        <is>
          <t>1.1</t>
        </is>
      </c>
      <c r="E63" t="inlineStr">
        <is>
          <t>Terraform resource groups and least-privilege Jenkins identity</t>
        </is>
      </c>
      <c r="F63" t="inlineStr">
        <is>
          <t>claude-opus-5-5</t>
        </is>
      </c>
      <c r="G63" t="inlineStr">
        <is>
          <t>claude-opus-5-5</t>
        </is>
      </c>
      <c r="H63" s="36" t="n">
        <v>52</v>
      </c>
      <c r="I63" s="36" t="n">
        <v>331</v>
      </c>
      <c r="J63" s="36" t="n">
        <v>157862</v>
      </c>
      <c r="K63" s="36" t="n">
        <v>18054</v>
      </c>
      <c r="L63" s="36" t="n">
        <v>7801120</v>
      </c>
      <c r="M63" s="36" t="n">
        <v>50356</v>
      </c>
      <c r="N63" s="14">
        <f>IFERROR((I63*VLOOKUP($G63,'Claude Prices'!$A$5:$G$22,3,FALSE)+J63*VLOOKUP($G63,'Claude Prices'!$A$5:$G$22,4,FALSE)+K63*VLOOKUP($G63,'Claude Prices'!$A$5:$G$22,5,FALSE)+L63*VLOOKUP($G63,'Claude Prices'!$A$5:$G$22,6,FALSE)+M63*VLOOKUP($G63,'Claude Prices'!$A$5:$G$22,7,FALSE))/1000000,0)</f>
        <v/>
      </c>
      <c r="O63" s="14">
        <f>N63*ClaudeFxRate</f>
        <v/>
      </c>
      <c r="P63" t="inlineStr"/>
    </row>
    <row r="64">
      <c r="A64" s="26" t="n">
        <v>46266</v>
      </c>
      <c r="B64" t="inlineStr">
        <is>
          <t>ops</t>
        </is>
      </c>
      <c r="C64" t="inlineStr">
        <is>
          <t>merges, promotions &amp; deploys</t>
        </is>
      </c>
      <c r="D64" t="inlineStr"/>
      <c r="E64" t="inlineStr"/>
      <c r="F64" t="inlineStr">
        <is>
          <t>claude-opus-5-5</t>
        </is>
      </c>
      <c r="G64" t="inlineStr">
        <is>
          <t>claude-opus-5-5</t>
        </is>
      </c>
      <c r="H64" s="36" t="n">
        <v>15</v>
      </c>
      <c r="I64" s="36" t="n">
        <v>80</v>
      </c>
      <c r="J64" s="36" t="n">
        <v>47584</v>
      </c>
      <c r="K64" s="36" t="n">
        <v>5005</v>
      </c>
      <c r="L64" s="36" t="n">
        <v>2013751</v>
      </c>
      <c r="M64" s="36" t="n">
        <v>12114</v>
      </c>
      <c r="N64" s="14">
        <f>IFERROR((I64*VLOOKUP($G64,'Claude Prices'!$A$5:$G$22,3,FALSE)+J64*VLOOKUP($G64,'Claude Prices'!$A$5:$G$22,4,FALSE)+K64*VLOOKUP($G64,'Claude Prices'!$A$5:$G$22,5,FALSE)+L64*VLOOKUP($G64,'Claude Prices'!$A$5:$G$22,6,FALSE)+M64*VLOOKUP($G64,'Claude Prices'!$A$5:$G$22,7,FALSE))/1000000,0)</f>
        <v/>
      </c>
      <c r="O64" s="14">
        <f>N64*ClaudeFxRate</f>
        <v/>
      </c>
      <c r="P64" t="inlineStr"/>
    </row>
    <row r="65">
      <c r="A65" s="26" t="n">
        <v>46266</v>
      </c>
      <c r="B65" t="inlineStr">
        <is>
          <t>story</t>
        </is>
      </c>
      <c r="C65" t="inlineStr">
        <is>
          <t>PORTAL-101</t>
        </is>
      </c>
      <c r="D65" t="inlineStr">
        <is>
          <t>1.1</t>
        </is>
      </c>
      <c r="E65" t="inlineStr">
        <is>
          <t>Terraform resource groups and least-privilege Jenkins identity</t>
        </is>
      </c>
      <c r="F65" t="inlineStr">
        <is>
          <t>claude-opus-5-5</t>
        </is>
      </c>
      <c r="G65" t="inlineStr">
        <is>
          <t>claude-opus-5-5</t>
        </is>
      </c>
      <c r="H65" s="36" t="n">
        <v>75</v>
      </c>
      <c r="I65" s="36" t="n">
        <v>458</v>
      </c>
      <c r="J65" s="36" t="n">
        <v>252798</v>
      </c>
      <c r="K65" s="36" t="n">
        <v>26459</v>
      </c>
      <c r="L65" s="36" t="n">
        <v>11271879</v>
      </c>
      <c r="M65" s="36" t="n">
        <v>66804</v>
      </c>
      <c r="N65" s="14">
        <f>IFERROR((I65*VLOOKUP($G65,'Claude Prices'!$A$5:$G$22,3,FALSE)+J65*VLOOKUP($G65,'Claude Prices'!$A$5:$G$22,4,FALSE)+K65*VLOOKUP($G65,'Claude Prices'!$A$5:$G$22,5,FALSE)+L65*VLOOKUP($G65,'Claude Prices'!$A$5:$G$22,6,FALSE)+M65*VLOOKUP($G65,'Claude Prices'!$A$5:$G$22,7,FALSE))/1000000,0)</f>
        <v/>
      </c>
      <c r="O65" s="14">
        <f>N65*ClaudeFxRate</f>
        <v/>
      </c>
      <c r="P65" t="inlineStr"/>
    </row>
    <row r="66">
      <c r="A66" s="26" t="n">
        <v>46267</v>
      </c>
      <c r="B66" t="inlineStr">
        <is>
          <t>ops</t>
        </is>
      </c>
      <c r="C66" t="inlineStr">
        <is>
          <t>merges, promotions &amp; deploys</t>
        </is>
      </c>
      <c r="D66" t="inlineStr"/>
      <c r="E66" t="inlineStr"/>
      <c r="F66" t="inlineStr">
        <is>
          <t>claude-opus-5-5</t>
        </is>
      </c>
      <c r="G66" t="inlineStr">
        <is>
          <t>claude-opus-5-5</t>
        </is>
      </c>
      <c r="H66" s="36" t="n">
        <v>11</v>
      </c>
      <c r="I66" s="36" t="n">
        <v>55</v>
      </c>
      <c r="J66" s="36" t="n">
        <v>42880</v>
      </c>
      <c r="K66" s="36" t="n">
        <v>4882</v>
      </c>
      <c r="L66" s="36" t="n">
        <v>1990420</v>
      </c>
      <c r="M66" s="36" t="n">
        <v>13169</v>
      </c>
      <c r="N66" s="14">
        <f>IFERROR((I66*VLOOKUP($G66,'Claude Prices'!$A$5:$G$22,3,FALSE)+J66*VLOOKUP($G66,'Claude Prices'!$A$5:$G$22,4,FALSE)+K66*VLOOKUP($G66,'Claude Prices'!$A$5:$G$22,5,FALSE)+L66*VLOOKUP($G66,'Claude Prices'!$A$5:$G$22,6,FALSE)+M66*VLOOKUP($G66,'Claude Prices'!$A$5:$G$22,7,FALSE))/1000000,0)</f>
        <v/>
      </c>
      <c r="O66" s="14">
        <f>N66*ClaudeFxRate</f>
        <v/>
      </c>
      <c r="P66" t="inlineStr"/>
    </row>
    <row r="67">
      <c r="A67" s="26" t="n">
        <v>46267</v>
      </c>
      <c r="B67" t="inlineStr">
        <is>
          <t>story</t>
        </is>
      </c>
      <c r="C67" t="inlineStr">
        <is>
          <t>PORTAL-101</t>
        </is>
      </c>
      <c r="D67" t="inlineStr">
        <is>
          <t>1.1</t>
        </is>
      </c>
      <c r="E67" t="inlineStr">
        <is>
          <t>Terraform resource groups and least-privilege Jenkins identity</t>
        </is>
      </c>
      <c r="F67" t="inlineStr">
        <is>
          <t>claude-opus-5-5</t>
        </is>
      </c>
      <c r="G67" t="inlineStr">
        <is>
          <t>claude-opus-5-5</t>
        </is>
      </c>
      <c r="H67" s="36" t="n">
        <v>39</v>
      </c>
      <c r="I67" s="36" t="n">
        <v>229</v>
      </c>
      <c r="J67" s="36" t="n">
        <v>125457</v>
      </c>
      <c r="K67" s="36" t="n">
        <v>13143</v>
      </c>
      <c r="L67" s="36" t="n">
        <v>5596394</v>
      </c>
      <c r="M67" s="36" t="n">
        <v>33558</v>
      </c>
      <c r="N67" s="14">
        <f>IFERROR((I67*VLOOKUP($G67,'Claude Prices'!$A$5:$G$22,3,FALSE)+J67*VLOOKUP($G67,'Claude Prices'!$A$5:$G$22,4,FALSE)+K67*VLOOKUP($G67,'Claude Prices'!$A$5:$G$22,5,FALSE)+L67*VLOOKUP($G67,'Claude Prices'!$A$5:$G$22,6,FALSE)+M67*VLOOKUP($G67,'Claude Prices'!$A$5:$G$22,7,FALSE))/1000000,0)</f>
        <v/>
      </c>
      <c r="O67" s="14">
        <f>N67*ClaudeFxRate</f>
        <v/>
      </c>
      <c r="P67" t="inlineStr"/>
    </row>
    <row r="68">
      <c r="A68" s="26" t="n">
        <v>46267</v>
      </c>
      <c r="B68" t="inlineStr">
        <is>
          <t>story</t>
        </is>
      </c>
      <c r="C68" t="inlineStr">
        <is>
          <t>PORTAL-102</t>
        </is>
      </c>
      <c r="D68" t="inlineStr">
        <is>
          <t>1.2</t>
        </is>
      </c>
      <c r="E68" t="inlineStr">
        <is>
          <t>AKS with Node Auto Provisioning, Istio mTLS STRICT and Kong ingress</t>
        </is>
      </c>
      <c r="F68" t="inlineStr">
        <is>
          <t>claude-opus-5-5</t>
        </is>
      </c>
      <c r="G68" t="inlineStr">
        <is>
          <t>claude-opus-5-5</t>
        </is>
      </c>
      <c r="H68" s="36" t="n">
        <v>75</v>
      </c>
      <c r="I68" s="36" t="n">
        <v>466</v>
      </c>
      <c r="J68" s="36" t="n">
        <v>232137</v>
      </c>
      <c r="K68" s="36" t="n">
        <v>25565</v>
      </c>
      <c r="L68" s="36" t="n">
        <v>10964653</v>
      </c>
      <c r="M68" s="36" t="n">
        <v>59443</v>
      </c>
      <c r="N68" s="14">
        <f>IFERROR((I68*VLOOKUP($G68,'Claude Prices'!$A$5:$G$22,3,FALSE)+J68*VLOOKUP($G68,'Claude Prices'!$A$5:$G$22,4,FALSE)+K68*VLOOKUP($G68,'Claude Prices'!$A$5:$G$22,5,FALSE)+L68*VLOOKUP($G68,'Claude Prices'!$A$5:$G$22,6,FALSE)+M68*VLOOKUP($G68,'Claude Prices'!$A$5:$G$22,7,FALSE))/1000000,0)</f>
        <v/>
      </c>
      <c r="O68" s="14">
        <f>N68*ClaudeFxRate</f>
        <v/>
      </c>
      <c r="P68" t="inlineStr"/>
    </row>
    <row r="69">
      <c r="A69" s="26" t="n">
        <v>46268</v>
      </c>
      <c r="B69" t="inlineStr">
        <is>
          <t>ops</t>
        </is>
      </c>
      <c r="C69" t="inlineStr">
        <is>
          <t>merges, promotions &amp; deploys</t>
        </is>
      </c>
      <c r="D69" t="inlineStr"/>
      <c r="E69" t="inlineStr"/>
      <c r="F69" t="inlineStr">
        <is>
          <t>claude-opus-5-5</t>
        </is>
      </c>
      <c r="G69" t="inlineStr">
        <is>
          <t>claude-opus-5-5</t>
        </is>
      </c>
      <c r="H69" s="36" t="n">
        <v>11</v>
      </c>
      <c r="I69" s="36" t="n">
        <v>66</v>
      </c>
      <c r="J69" s="36" t="n">
        <v>35748</v>
      </c>
      <c r="K69" s="36" t="n">
        <v>5243</v>
      </c>
      <c r="L69" s="36" t="n">
        <v>1738363</v>
      </c>
      <c r="M69" s="36" t="n">
        <v>9185</v>
      </c>
      <c r="N69" s="14">
        <f>IFERROR((I69*VLOOKUP($G69,'Claude Prices'!$A$5:$G$22,3,FALSE)+J69*VLOOKUP($G69,'Claude Prices'!$A$5:$G$22,4,FALSE)+K69*VLOOKUP($G69,'Claude Prices'!$A$5:$G$22,5,FALSE)+L69*VLOOKUP($G69,'Claude Prices'!$A$5:$G$22,6,FALSE)+M69*VLOOKUP($G69,'Claude Prices'!$A$5:$G$22,7,FALSE))/1000000,0)</f>
        <v/>
      </c>
      <c r="O69" s="14">
        <f>N69*ClaudeFxRate</f>
        <v/>
      </c>
      <c r="P69" t="inlineStr"/>
    </row>
    <row r="70">
      <c r="A70" s="26" t="n">
        <v>46268</v>
      </c>
      <c r="B70" t="inlineStr">
        <is>
          <t>story</t>
        </is>
      </c>
      <c r="C70" t="inlineStr">
        <is>
          <t>PORTAL-102</t>
        </is>
      </c>
      <c r="D70" t="inlineStr">
        <is>
          <t>1.2</t>
        </is>
      </c>
      <c r="E70" t="inlineStr">
        <is>
          <t>AKS with Node Auto Provisioning, Istio mTLS STRICT and Kong ingress</t>
        </is>
      </c>
      <c r="F70" t="inlineStr">
        <is>
          <t>claude-opus-5-5</t>
        </is>
      </c>
      <c r="G70" t="inlineStr">
        <is>
          <t>claude-opus-5-5</t>
        </is>
      </c>
      <c r="H70" s="36" t="n">
        <v>38</v>
      </c>
      <c r="I70" s="36" t="n">
        <v>237</v>
      </c>
      <c r="J70" s="36" t="n">
        <v>126654</v>
      </c>
      <c r="K70" s="36" t="n">
        <v>13192</v>
      </c>
      <c r="L70" s="36" t="n">
        <v>5697410</v>
      </c>
      <c r="M70" s="36" t="n">
        <v>34467</v>
      </c>
      <c r="N70" s="14">
        <f>IFERROR((I70*VLOOKUP($G70,'Claude Prices'!$A$5:$G$22,3,FALSE)+J70*VLOOKUP($G70,'Claude Prices'!$A$5:$G$22,4,FALSE)+K70*VLOOKUP($G70,'Claude Prices'!$A$5:$G$22,5,FALSE)+L70*VLOOKUP($G70,'Claude Prices'!$A$5:$G$22,6,FALSE)+M70*VLOOKUP($G70,'Claude Prices'!$A$5:$G$22,7,FALSE))/1000000,0)</f>
        <v/>
      </c>
      <c r="O70" s="14">
        <f>N70*ClaudeFxRate</f>
        <v/>
      </c>
      <c r="P70" t="inlineStr"/>
    </row>
    <row r="71">
      <c r="A71" s="26" t="n">
        <v>46269</v>
      </c>
      <c r="B71" t="inlineStr">
        <is>
          <t>ops</t>
        </is>
      </c>
      <c r="C71" t="inlineStr">
        <is>
          <t>merges, promotions &amp; deploys</t>
        </is>
      </c>
      <c r="D71" t="inlineStr"/>
      <c r="E71" t="inlineStr"/>
      <c r="F71" t="inlineStr">
        <is>
          <t>claude-opus-5-5</t>
        </is>
      </c>
      <c r="G71" t="inlineStr">
        <is>
          <t>claude-opus-5-5</t>
        </is>
      </c>
      <c r="H71" s="36" t="n">
        <v>10</v>
      </c>
      <c r="I71" s="36" t="n">
        <v>66</v>
      </c>
      <c r="J71" s="36" t="n">
        <v>32926</v>
      </c>
      <c r="K71" s="36" t="n">
        <v>3476</v>
      </c>
      <c r="L71" s="36" t="n">
        <v>1655761</v>
      </c>
      <c r="M71" s="36" t="n">
        <v>10556</v>
      </c>
      <c r="N71" s="14">
        <f>IFERROR((I71*VLOOKUP($G71,'Claude Prices'!$A$5:$G$22,3,FALSE)+J71*VLOOKUP($G71,'Claude Prices'!$A$5:$G$22,4,FALSE)+K71*VLOOKUP($G71,'Claude Prices'!$A$5:$G$22,5,FALSE)+L71*VLOOKUP($G71,'Claude Prices'!$A$5:$G$22,6,FALSE)+M71*VLOOKUP($G71,'Claude Prices'!$A$5:$G$22,7,FALSE))/1000000,0)</f>
        <v/>
      </c>
      <c r="O71" s="14">
        <f>N71*ClaudeFxRate</f>
        <v/>
      </c>
      <c r="P71" t="inlineStr"/>
    </row>
    <row r="72">
      <c r="A72" s="26" t="n">
        <v>46269</v>
      </c>
      <c r="B72" t="inlineStr">
        <is>
          <t>story</t>
        </is>
      </c>
      <c r="C72" t="inlineStr">
        <is>
          <t>PORTAL-102</t>
        </is>
      </c>
      <c r="D72" t="inlineStr">
        <is>
          <t>1.2</t>
        </is>
      </c>
      <c r="E72" t="inlineStr">
        <is>
          <t>AKS with Node Auto Provisioning, Istio mTLS STRICT and Kong ingress</t>
        </is>
      </c>
      <c r="F72" t="inlineStr">
        <is>
          <t>claude-opus-5-5</t>
        </is>
      </c>
      <c r="G72" t="inlineStr">
        <is>
          <t>claude-opus-5-5</t>
        </is>
      </c>
      <c r="H72" s="36" t="n">
        <v>71</v>
      </c>
      <c r="I72" s="36" t="n">
        <v>437</v>
      </c>
      <c r="J72" s="36" t="n">
        <v>226465</v>
      </c>
      <c r="K72" s="36" t="n">
        <v>22539</v>
      </c>
      <c r="L72" s="36" t="n">
        <v>10192270</v>
      </c>
      <c r="M72" s="36" t="n">
        <v>61767</v>
      </c>
      <c r="N72" s="14">
        <f>IFERROR((I72*VLOOKUP($G72,'Claude Prices'!$A$5:$G$22,3,FALSE)+J72*VLOOKUP($G72,'Claude Prices'!$A$5:$G$22,4,FALSE)+K72*VLOOKUP($G72,'Claude Prices'!$A$5:$G$22,5,FALSE)+L72*VLOOKUP($G72,'Claude Prices'!$A$5:$G$22,6,FALSE)+M72*VLOOKUP($G72,'Claude Prices'!$A$5:$G$22,7,FALSE))/1000000,0)</f>
        <v/>
      </c>
      <c r="O72" s="14">
        <f>N72*ClaudeFxRate</f>
        <v/>
      </c>
      <c r="P72" t="inlineStr"/>
    </row>
    <row r="73">
      <c r="A73" s="26" t="n">
        <v>46272</v>
      </c>
      <c r="B73" t="inlineStr">
        <is>
          <t>ops</t>
        </is>
      </c>
      <c r="C73" t="inlineStr">
        <is>
          <t>merges, promotions &amp; deploys</t>
        </is>
      </c>
      <c r="D73" t="inlineStr"/>
      <c r="E73" t="inlineStr"/>
      <c r="F73" t="inlineStr">
        <is>
          <t>claude-opus-5-5</t>
        </is>
      </c>
      <c r="G73" t="inlineStr">
        <is>
          <t>claude-opus-5-5</t>
        </is>
      </c>
      <c r="H73" s="36" t="n">
        <v>14</v>
      </c>
      <c r="I73" s="36" t="n">
        <v>72</v>
      </c>
      <c r="J73" s="36" t="n">
        <v>41883</v>
      </c>
      <c r="K73" s="36" t="n">
        <v>4807</v>
      </c>
      <c r="L73" s="36" t="n">
        <v>2113125</v>
      </c>
      <c r="M73" s="36" t="n">
        <v>12112</v>
      </c>
      <c r="N73" s="14">
        <f>IFERROR((I73*VLOOKUP($G73,'Claude Prices'!$A$5:$G$22,3,FALSE)+J73*VLOOKUP($G73,'Claude Prices'!$A$5:$G$22,4,FALSE)+K73*VLOOKUP($G73,'Claude Prices'!$A$5:$G$22,5,FALSE)+L73*VLOOKUP($G73,'Claude Prices'!$A$5:$G$22,6,FALSE)+M73*VLOOKUP($G73,'Claude Prices'!$A$5:$G$22,7,FALSE))/1000000,0)</f>
        <v/>
      </c>
      <c r="O73" s="14">
        <f>N73*ClaudeFxRate</f>
        <v/>
      </c>
      <c r="P73" t="inlineStr"/>
    </row>
    <row r="74">
      <c r="A74" s="26" t="n">
        <v>46272</v>
      </c>
      <c r="B74" t="inlineStr">
        <is>
          <t>story</t>
        </is>
      </c>
      <c r="C74" t="inlineStr">
        <is>
          <t>PORTAL-102</t>
        </is>
      </c>
      <c r="D74" t="inlineStr">
        <is>
          <t>1.2</t>
        </is>
      </c>
      <c r="E74" t="inlineStr">
        <is>
          <t>AKS with Node Auto Provisioning, Istio mTLS STRICT and Kong ingress</t>
        </is>
      </c>
      <c r="F74" t="inlineStr">
        <is>
          <t>claude-opus-5-5</t>
        </is>
      </c>
      <c r="G74" t="inlineStr">
        <is>
          <t>claude-opus-5-5</t>
        </is>
      </c>
      <c r="H74" s="36" t="n">
        <v>55</v>
      </c>
      <c r="I74" s="36" t="n">
        <v>328</v>
      </c>
      <c r="J74" s="36" t="n">
        <v>191155</v>
      </c>
      <c r="K74" s="36" t="n">
        <v>21991</v>
      </c>
      <c r="L74" s="36" t="n">
        <v>8414887</v>
      </c>
      <c r="M74" s="36" t="n">
        <v>55135</v>
      </c>
      <c r="N74" s="14">
        <f>IFERROR((I74*VLOOKUP($G74,'Claude Prices'!$A$5:$G$22,3,FALSE)+J74*VLOOKUP($G74,'Claude Prices'!$A$5:$G$22,4,FALSE)+K74*VLOOKUP($G74,'Claude Prices'!$A$5:$G$22,5,FALSE)+L74*VLOOKUP($G74,'Claude Prices'!$A$5:$G$22,6,FALSE)+M74*VLOOKUP($G74,'Claude Prices'!$A$5:$G$22,7,FALSE))/1000000,0)</f>
        <v/>
      </c>
      <c r="O74" s="14">
        <f>N74*ClaudeFxRate</f>
        <v/>
      </c>
      <c r="P74" t="inlineStr"/>
    </row>
    <row r="75">
      <c r="A75" s="26" t="n">
        <v>46272</v>
      </c>
      <c r="B75" t="inlineStr">
        <is>
          <t>story</t>
        </is>
      </c>
      <c r="C75" t="inlineStr">
        <is>
          <t>PORTAL-103</t>
        </is>
      </c>
      <c r="D75" t="inlineStr">
        <is>
          <t>1.3</t>
        </is>
      </c>
      <c r="E75" t="inlineStr">
        <is>
          <t>Vault with Key Vault auto-unseal and secret-free services</t>
        </is>
      </c>
      <c r="F75" t="inlineStr">
        <is>
          <t>claude-opus-5-5</t>
        </is>
      </c>
      <c r="G75" t="inlineStr">
        <is>
          <t>claude-opus-5-5</t>
        </is>
      </c>
      <c r="H75" s="36" t="n">
        <v>39</v>
      </c>
      <c r="I75" s="36" t="n">
        <v>241</v>
      </c>
      <c r="J75" s="36" t="n">
        <v>114637</v>
      </c>
      <c r="K75" s="36" t="n">
        <v>13263</v>
      </c>
      <c r="L75" s="36" t="n">
        <v>5196583</v>
      </c>
      <c r="M75" s="36" t="n">
        <v>28914</v>
      </c>
      <c r="N75" s="14">
        <f>IFERROR((I75*VLOOKUP($G75,'Claude Prices'!$A$5:$G$22,3,FALSE)+J75*VLOOKUP($G75,'Claude Prices'!$A$5:$G$22,4,FALSE)+K75*VLOOKUP($G75,'Claude Prices'!$A$5:$G$22,5,FALSE)+L75*VLOOKUP($G75,'Claude Prices'!$A$5:$G$22,6,FALSE)+M75*VLOOKUP($G75,'Claude Prices'!$A$5:$G$22,7,FALSE))/1000000,0)</f>
        <v/>
      </c>
      <c r="O75" s="14">
        <f>N75*ClaudeFxRate</f>
        <v/>
      </c>
      <c r="P75" t="inlineStr"/>
    </row>
    <row r="76">
      <c r="A76" s="26" t="n">
        <v>46273</v>
      </c>
      <c r="B76" t="inlineStr">
        <is>
          <t>ops</t>
        </is>
      </c>
      <c r="C76" t="inlineStr">
        <is>
          <t>merges, promotions &amp; deploys</t>
        </is>
      </c>
      <c r="D76" t="inlineStr"/>
      <c r="E76" t="inlineStr"/>
      <c r="F76" t="inlineStr">
        <is>
          <t>claude-opus-5-5</t>
        </is>
      </c>
      <c r="G76" t="inlineStr">
        <is>
          <t>claude-opus-5-5</t>
        </is>
      </c>
      <c r="H76" s="36" t="n">
        <v>11</v>
      </c>
      <c r="I76" s="36" t="n">
        <v>48</v>
      </c>
      <c r="J76" s="36" t="n">
        <v>32764</v>
      </c>
      <c r="K76" s="36" t="n">
        <v>3855</v>
      </c>
      <c r="L76" s="36" t="n">
        <v>1476670</v>
      </c>
      <c r="M76" s="36" t="n">
        <v>8166</v>
      </c>
      <c r="N76" s="14">
        <f>IFERROR((I76*VLOOKUP($G76,'Claude Prices'!$A$5:$G$22,3,FALSE)+J76*VLOOKUP($G76,'Claude Prices'!$A$5:$G$22,4,FALSE)+K76*VLOOKUP($G76,'Claude Prices'!$A$5:$G$22,5,FALSE)+L76*VLOOKUP($G76,'Claude Prices'!$A$5:$G$22,6,FALSE)+M76*VLOOKUP($G76,'Claude Prices'!$A$5:$G$22,7,FALSE))/1000000,0)</f>
        <v/>
      </c>
      <c r="O76" s="14">
        <f>N76*ClaudeFxRate</f>
        <v/>
      </c>
      <c r="P76" t="inlineStr"/>
    </row>
    <row r="77">
      <c r="A77" s="26" t="n">
        <v>46273</v>
      </c>
      <c r="B77" t="inlineStr">
        <is>
          <t>story</t>
        </is>
      </c>
      <c r="C77" t="inlineStr">
        <is>
          <t>PORTAL-103</t>
        </is>
      </c>
      <c r="D77" t="inlineStr">
        <is>
          <t>1.3</t>
        </is>
      </c>
      <c r="E77" t="inlineStr">
        <is>
          <t>Vault with Key Vault auto-unseal and secret-free services</t>
        </is>
      </c>
      <c r="F77" t="inlineStr">
        <is>
          <t>claude-opus-5-5</t>
        </is>
      </c>
      <c r="G77" t="inlineStr">
        <is>
          <t>claude-opus-5-5</t>
        </is>
      </c>
      <c r="H77" s="36" t="n">
        <v>61</v>
      </c>
      <c r="I77" s="36" t="n">
        <v>443</v>
      </c>
      <c r="J77" s="36" t="n">
        <v>222188</v>
      </c>
      <c r="K77" s="36" t="n">
        <v>25765</v>
      </c>
      <c r="L77" s="36" t="n">
        <v>9679099</v>
      </c>
      <c r="M77" s="36" t="n">
        <v>56700</v>
      </c>
      <c r="N77" s="14">
        <f>IFERROR((I77*VLOOKUP($G77,'Claude Prices'!$A$5:$G$22,3,FALSE)+J77*VLOOKUP($G77,'Claude Prices'!$A$5:$G$22,4,FALSE)+K77*VLOOKUP($G77,'Claude Prices'!$A$5:$G$22,5,FALSE)+L77*VLOOKUP($G77,'Claude Prices'!$A$5:$G$22,6,FALSE)+M77*VLOOKUP($G77,'Claude Prices'!$A$5:$G$22,7,FALSE))/1000000,0)</f>
        <v/>
      </c>
      <c r="O77" s="14">
        <f>N77*ClaudeFxRate</f>
        <v/>
      </c>
      <c r="P77" t="inlineStr"/>
    </row>
    <row r="78">
      <c r="A78" s="26" t="n">
        <v>46274</v>
      </c>
      <c r="B78" t="inlineStr">
        <is>
          <t>ops</t>
        </is>
      </c>
      <c r="C78" t="inlineStr">
        <is>
          <t>merges, promotions &amp; deploys</t>
        </is>
      </c>
      <c r="D78" t="inlineStr"/>
      <c r="E78" t="inlineStr"/>
      <c r="F78" t="inlineStr">
        <is>
          <t>claude-opus-5-5</t>
        </is>
      </c>
      <c r="G78" t="inlineStr">
        <is>
          <t>claude-opus-5-5</t>
        </is>
      </c>
      <c r="H78" s="36" t="n">
        <v>10</v>
      </c>
      <c r="I78" s="36" t="n">
        <v>57</v>
      </c>
      <c r="J78" s="36" t="n">
        <v>34357</v>
      </c>
      <c r="K78" s="36" t="n">
        <v>4090</v>
      </c>
      <c r="L78" s="36" t="n">
        <v>1546984</v>
      </c>
      <c r="M78" s="36" t="n">
        <v>10219</v>
      </c>
      <c r="N78" s="14">
        <f>IFERROR((I78*VLOOKUP($G78,'Claude Prices'!$A$5:$G$22,3,FALSE)+J78*VLOOKUP($G78,'Claude Prices'!$A$5:$G$22,4,FALSE)+K78*VLOOKUP($G78,'Claude Prices'!$A$5:$G$22,5,FALSE)+L78*VLOOKUP($G78,'Claude Prices'!$A$5:$G$22,6,FALSE)+M78*VLOOKUP($G78,'Claude Prices'!$A$5:$G$22,7,FALSE))/1000000,0)</f>
        <v/>
      </c>
      <c r="O78" s="14">
        <f>N78*ClaudeFxRate</f>
        <v/>
      </c>
      <c r="P78" t="inlineStr"/>
    </row>
    <row r="79">
      <c r="A79" s="26" t="n">
        <v>46274</v>
      </c>
      <c r="B79" t="inlineStr">
        <is>
          <t>story</t>
        </is>
      </c>
      <c r="C79" t="inlineStr">
        <is>
          <t>PORTAL-103</t>
        </is>
      </c>
      <c r="D79" t="inlineStr">
        <is>
          <t>1.3</t>
        </is>
      </c>
      <c r="E79" t="inlineStr">
        <is>
          <t>Vault with Key Vault auto-unseal and secret-free services</t>
        </is>
      </c>
      <c r="F79" t="inlineStr">
        <is>
          <t>claude-opus-5-5</t>
        </is>
      </c>
      <c r="G79" t="inlineStr">
        <is>
          <t>claude-opus-5-5</t>
        </is>
      </c>
      <c r="H79" s="36" t="n">
        <v>67</v>
      </c>
      <c r="I79" s="36" t="n">
        <v>271</v>
      </c>
      <c r="J79" s="36" t="n">
        <v>202704</v>
      </c>
      <c r="K79" s="36" t="n">
        <v>22565</v>
      </c>
      <c r="L79" s="36" t="n">
        <v>9316496</v>
      </c>
      <c r="M79" s="36" t="n">
        <v>58397</v>
      </c>
      <c r="N79" s="14">
        <f>IFERROR((I79*VLOOKUP($G79,'Claude Prices'!$A$5:$G$22,3,FALSE)+J79*VLOOKUP($G79,'Claude Prices'!$A$5:$G$22,4,FALSE)+K79*VLOOKUP($G79,'Claude Prices'!$A$5:$G$22,5,FALSE)+L79*VLOOKUP($G79,'Claude Prices'!$A$5:$G$22,6,FALSE)+M79*VLOOKUP($G79,'Claude Prices'!$A$5:$G$22,7,FALSE))/1000000,0)</f>
        <v/>
      </c>
      <c r="O79" s="14">
        <f>N79*ClaudeFxRate</f>
        <v/>
      </c>
      <c r="P79" t="inlineStr"/>
    </row>
    <row r="80">
      <c r="A80" s="26" t="n">
        <v>46274</v>
      </c>
      <c r="B80" t="inlineStr">
        <is>
          <t>story</t>
        </is>
      </c>
      <c r="C80" t="inlineStr">
        <is>
          <t>PORTAL-104</t>
        </is>
      </c>
      <c r="D80" t="inlineStr">
        <is>
          <t>1.4</t>
        </is>
      </c>
      <c r="E80" t="inlineStr">
        <is>
          <t>Parallel microservice image builds with Kaniko on Jenkins agents</t>
        </is>
      </c>
      <c r="F80" t="inlineStr">
        <is>
          <t>claude-opus-5-5</t>
        </is>
      </c>
      <c r="G80" t="inlineStr">
        <is>
          <t>claude-opus-5-5</t>
        </is>
      </c>
      <c r="H80" s="36" t="n">
        <v>44</v>
      </c>
      <c r="I80" s="36" t="n">
        <v>169</v>
      </c>
      <c r="J80" s="36" t="n">
        <v>113526</v>
      </c>
      <c r="K80" s="36" t="n">
        <v>12988</v>
      </c>
      <c r="L80" s="36" t="n">
        <v>5839754</v>
      </c>
      <c r="M80" s="36" t="n">
        <v>32858</v>
      </c>
      <c r="N80" s="14">
        <f>IFERROR((I80*VLOOKUP($G80,'Claude Prices'!$A$5:$G$22,3,FALSE)+J80*VLOOKUP($G80,'Claude Prices'!$A$5:$G$22,4,FALSE)+K80*VLOOKUP($G80,'Claude Prices'!$A$5:$G$22,5,FALSE)+L80*VLOOKUP($G80,'Claude Prices'!$A$5:$G$22,6,FALSE)+M80*VLOOKUP($G80,'Claude Prices'!$A$5:$G$22,7,FALSE))/1000000,0)</f>
        <v/>
      </c>
      <c r="O80" s="14">
        <f>N80*ClaudeFxRate</f>
        <v/>
      </c>
      <c r="P80" t="inlineStr"/>
    </row>
    <row r="81">
      <c r="A81" s="26" t="n">
        <v>46275</v>
      </c>
      <c r="B81" t="inlineStr">
        <is>
          <t>ops</t>
        </is>
      </c>
      <c r="C81" t="inlineStr">
        <is>
          <t>merges, promotions &amp; deploys</t>
        </is>
      </c>
      <c r="D81" t="inlineStr"/>
      <c r="E81" t="inlineStr"/>
      <c r="F81" t="inlineStr">
        <is>
          <t>claude-opus-5-5</t>
        </is>
      </c>
      <c r="G81" t="inlineStr">
        <is>
          <t>claude-opus-5-5</t>
        </is>
      </c>
      <c r="H81" s="36" t="n">
        <v>10</v>
      </c>
      <c r="I81" s="36" t="n">
        <v>65</v>
      </c>
      <c r="J81" s="36" t="n">
        <v>27564</v>
      </c>
      <c r="K81" s="36" t="n">
        <v>3196</v>
      </c>
      <c r="L81" s="36" t="n">
        <v>1340571</v>
      </c>
      <c r="M81" s="36" t="n">
        <v>7171</v>
      </c>
      <c r="N81" s="14">
        <f>IFERROR((I81*VLOOKUP($G81,'Claude Prices'!$A$5:$G$22,3,FALSE)+J81*VLOOKUP($G81,'Claude Prices'!$A$5:$G$22,4,FALSE)+K81*VLOOKUP($G81,'Claude Prices'!$A$5:$G$22,5,FALSE)+L81*VLOOKUP($G81,'Claude Prices'!$A$5:$G$22,6,FALSE)+M81*VLOOKUP($G81,'Claude Prices'!$A$5:$G$22,7,FALSE))/1000000,0)</f>
        <v/>
      </c>
      <c r="O81" s="14">
        <f>N81*ClaudeFxRate</f>
        <v/>
      </c>
      <c r="P81" t="inlineStr"/>
    </row>
    <row r="82">
      <c r="A82" s="26" t="n">
        <v>46275</v>
      </c>
      <c r="B82" t="inlineStr">
        <is>
          <t>story</t>
        </is>
      </c>
      <c r="C82" t="inlineStr">
        <is>
          <t>PORTAL-104</t>
        </is>
      </c>
      <c r="D82" t="inlineStr">
        <is>
          <t>1.4</t>
        </is>
      </c>
      <c r="E82" t="inlineStr">
        <is>
          <t>Parallel microservice image builds with Kaniko on Jenkins agents</t>
        </is>
      </c>
      <c r="F82" t="inlineStr">
        <is>
          <t>claude-opus-5-5</t>
        </is>
      </c>
      <c r="G82" t="inlineStr">
        <is>
          <t>claude-opus-5-5</t>
        </is>
      </c>
      <c r="H82" s="36" t="n">
        <v>31</v>
      </c>
      <c r="I82" s="36" t="n">
        <v>235</v>
      </c>
      <c r="J82" s="36" t="n">
        <v>102870</v>
      </c>
      <c r="K82" s="36" t="n">
        <v>11693</v>
      </c>
      <c r="L82" s="36" t="n">
        <v>4648758</v>
      </c>
      <c r="M82" s="36" t="n">
        <v>26584</v>
      </c>
      <c r="N82" s="14">
        <f>IFERROR((I82*VLOOKUP($G82,'Claude Prices'!$A$5:$G$22,3,FALSE)+J82*VLOOKUP($G82,'Claude Prices'!$A$5:$G$22,4,FALSE)+K82*VLOOKUP($G82,'Claude Prices'!$A$5:$G$22,5,FALSE)+L82*VLOOKUP($G82,'Claude Prices'!$A$5:$G$22,6,FALSE)+M82*VLOOKUP($G82,'Claude Prices'!$A$5:$G$22,7,FALSE))/1000000,0)</f>
        <v/>
      </c>
      <c r="O82" s="14">
        <f>N82*ClaudeFxRate</f>
        <v/>
      </c>
      <c r="P82" t="inlineStr"/>
    </row>
    <row r="83">
      <c r="A83" s="26" t="n">
        <v>46276</v>
      </c>
      <c r="B83" t="inlineStr">
        <is>
          <t>ops</t>
        </is>
      </c>
      <c r="C83" t="inlineStr">
        <is>
          <t>merges, promotions &amp; deploys</t>
        </is>
      </c>
      <c r="D83" t="inlineStr"/>
      <c r="E83" t="inlineStr"/>
      <c r="F83" t="inlineStr">
        <is>
          <t>claude-opus-5-5</t>
        </is>
      </c>
      <c r="G83" t="inlineStr">
        <is>
          <t>claude-opus-5-5</t>
        </is>
      </c>
      <c r="H83" s="36" t="n">
        <v>6</v>
      </c>
      <c r="I83" s="36" t="n">
        <v>34</v>
      </c>
      <c r="J83" s="36" t="n">
        <v>19277</v>
      </c>
      <c r="K83" s="36" t="n">
        <v>3032</v>
      </c>
      <c r="L83" s="36" t="n">
        <v>1076327</v>
      </c>
      <c r="M83" s="36" t="n">
        <v>6388</v>
      </c>
      <c r="N83" s="14">
        <f>IFERROR((I83*VLOOKUP($G83,'Claude Prices'!$A$5:$G$22,3,FALSE)+J83*VLOOKUP($G83,'Claude Prices'!$A$5:$G$22,4,FALSE)+K83*VLOOKUP($G83,'Claude Prices'!$A$5:$G$22,5,FALSE)+L83*VLOOKUP($G83,'Claude Prices'!$A$5:$G$22,6,FALSE)+M83*VLOOKUP($G83,'Claude Prices'!$A$5:$G$22,7,FALSE))/1000000,0)</f>
        <v/>
      </c>
      <c r="O83" s="14">
        <f>N83*ClaudeFxRate</f>
        <v/>
      </c>
      <c r="P83" t="inlineStr"/>
    </row>
    <row r="84">
      <c r="A84" s="26" t="n">
        <v>46276</v>
      </c>
      <c r="B84" t="inlineStr">
        <is>
          <t>story</t>
        </is>
      </c>
      <c r="C84" t="inlineStr">
        <is>
          <t>PORTAL-104</t>
        </is>
      </c>
      <c r="D84" t="inlineStr">
        <is>
          <t>1.4</t>
        </is>
      </c>
      <c r="E84" t="inlineStr">
        <is>
          <t>Parallel microservice image builds with Kaniko on Jenkins agents</t>
        </is>
      </c>
      <c r="F84" t="inlineStr">
        <is>
          <t>claude-opus-5-5</t>
        </is>
      </c>
      <c r="G84" t="inlineStr">
        <is>
          <t>claude-opus-5-5</t>
        </is>
      </c>
      <c r="H84" s="36" t="n">
        <v>64</v>
      </c>
      <c r="I84" s="36" t="n">
        <v>303</v>
      </c>
      <c r="J84" s="36" t="n">
        <v>194183</v>
      </c>
      <c r="K84" s="36" t="n">
        <v>24258</v>
      </c>
      <c r="L84" s="36" t="n">
        <v>9027955</v>
      </c>
      <c r="M84" s="36" t="n">
        <v>54536</v>
      </c>
      <c r="N84" s="14">
        <f>IFERROR((I84*VLOOKUP($G84,'Claude Prices'!$A$5:$G$22,3,FALSE)+J84*VLOOKUP($G84,'Claude Prices'!$A$5:$G$22,4,FALSE)+K84*VLOOKUP($G84,'Claude Prices'!$A$5:$G$22,5,FALSE)+L84*VLOOKUP($G84,'Claude Prices'!$A$5:$G$22,6,FALSE)+M84*VLOOKUP($G84,'Claude Prices'!$A$5:$G$22,7,FALSE))/1000000,0)</f>
        <v/>
      </c>
      <c r="O84" s="14">
        <f>N84*ClaudeFxRate</f>
        <v/>
      </c>
      <c r="P84" t="inlineStr"/>
    </row>
    <row r="85">
      <c r="A85" s="26" t="n">
        <v>46276</v>
      </c>
      <c r="B85" t="inlineStr">
        <is>
          <t>story</t>
        </is>
      </c>
      <c r="C85" t="inlineStr">
        <is>
          <t>PORTAL-105</t>
        </is>
      </c>
      <c r="D85" t="inlineStr">
        <is>
          <t>1.5</t>
        </is>
      </c>
      <c r="E85" t="inlineStr">
        <is>
          <t>Private endpoints and private DNS for lake, SQL, Key Vault and Event Hubs</t>
        </is>
      </c>
      <c r="F85" t="inlineStr">
        <is>
          <t>claude-opus-5-5</t>
        </is>
      </c>
      <c r="G85" t="inlineStr">
        <is>
          <t>claude-opus-5-5</t>
        </is>
      </c>
      <c r="H85" s="36" t="n">
        <v>49</v>
      </c>
      <c r="I85" s="36" t="n">
        <v>305</v>
      </c>
      <c r="J85" s="36" t="n">
        <v>174986</v>
      </c>
      <c r="K85" s="36" t="n">
        <v>21590</v>
      </c>
      <c r="L85" s="36" t="n">
        <v>7586807</v>
      </c>
      <c r="M85" s="36" t="n">
        <v>44178</v>
      </c>
      <c r="N85" s="14">
        <f>IFERROR((I85*VLOOKUP($G85,'Claude Prices'!$A$5:$G$22,3,FALSE)+J85*VLOOKUP($G85,'Claude Prices'!$A$5:$G$22,4,FALSE)+K85*VLOOKUP($G85,'Claude Prices'!$A$5:$G$22,5,FALSE)+L85*VLOOKUP($G85,'Claude Prices'!$A$5:$G$22,6,FALSE)+M85*VLOOKUP($G85,'Claude Prices'!$A$5:$G$22,7,FALSE))/1000000,0)</f>
        <v/>
      </c>
      <c r="O85" s="14">
        <f>N85*ClaudeFxRate</f>
        <v/>
      </c>
      <c r="P85" t="inlineStr"/>
    </row>
    <row r="86">
      <c r="A86" s="26" t="n">
        <v>46279</v>
      </c>
      <c r="B86" t="inlineStr">
        <is>
          <t>ops</t>
        </is>
      </c>
      <c r="C86" t="inlineStr">
        <is>
          <t>merges, promotions &amp; deploys</t>
        </is>
      </c>
      <c r="D86" t="inlineStr"/>
      <c r="E86" t="inlineStr"/>
      <c r="F86" t="inlineStr">
        <is>
          <t>claude-opus-5-5</t>
        </is>
      </c>
      <c r="G86" t="inlineStr">
        <is>
          <t>claude-opus-5-5</t>
        </is>
      </c>
      <c r="H86" s="36" t="n">
        <v>15</v>
      </c>
      <c r="I86" s="36" t="n">
        <v>78</v>
      </c>
      <c r="J86" s="36" t="n">
        <v>43878</v>
      </c>
      <c r="K86" s="36" t="n">
        <v>3982</v>
      </c>
      <c r="L86" s="36" t="n">
        <v>1897432</v>
      </c>
      <c r="M86" s="36" t="n">
        <v>12561</v>
      </c>
      <c r="N86" s="14">
        <f>IFERROR((I86*VLOOKUP($G86,'Claude Prices'!$A$5:$G$22,3,FALSE)+J86*VLOOKUP($G86,'Claude Prices'!$A$5:$G$22,4,FALSE)+K86*VLOOKUP($G86,'Claude Prices'!$A$5:$G$22,5,FALSE)+L86*VLOOKUP($G86,'Claude Prices'!$A$5:$G$22,6,FALSE)+M86*VLOOKUP($G86,'Claude Prices'!$A$5:$G$22,7,FALSE))/1000000,0)</f>
        <v/>
      </c>
      <c r="O86" s="14">
        <f>N86*ClaudeFxRate</f>
        <v/>
      </c>
      <c r="P86" t="inlineStr"/>
    </row>
    <row r="87">
      <c r="A87" s="26" t="n">
        <v>46279</v>
      </c>
      <c r="B87" t="inlineStr">
        <is>
          <t>story</t>
        </is>
      </c>
      <c r="C87" t="inlineStr">
        <is>
          <t>PORTAL-105</t>
        </is>
      </c>
      <c r="D87" t="inlineStr">
        <is>
          <t>1.5</t>
        </is>
      </c>
      <c r="E87" t="inlineStr">
        <is>
          <t>Private endpoints and private DNS for lake, SQL, Key Vault and Event Hubs</t>
        </is>
      </c>
      <c r="F87" t="inlineStr">
        <is>
          <t>claude-opus-5-5</t>
        </is>
      </c>
      <c r="G87" t="inlineStr">
        <is>
          <t>claude-opus-5-5</t>
        </is>
      </c>
      <c r="H87" s="36" t="n">
        <v>33</v>
      </c>
      <c r="I87" s="36" t="n">
        <v>176</v>
      </c>
      <c r="J87" s="36" t="n">
        <v>91822</v>
      </c>
      <c r="K87" s="36" t="n">
        <v>10313</v>
      </c>
      <c r="L87" s="36" t="n">
        <v>4543714</v>
      </c>
      <c r="M87" s="36" t="n">
        <v>24366</v>
      </c>
      <c r="N87" s="14">
        <f>IFERROR((I87*VLOOKUP($G87,'Claude Prices'!$A$5:$G$22,3,FALSE)+J87*VLOOKUP($G87,'Claude Prices'!$A$5:$G$22,4,FALSE)+K87*VLOOKUP($G87,'Claude Prices'!$A$5:$G$22,5,FALSE)+L87*VLOOKUP($G87,'Claude Prices'!$A$5:$G$22,6,FALSE)+M87*VLOOKUP($G87,'Claude Prices'!$A$5:$G$22,7,FALSE))/1000000,0)</f>
        <v/>
      </c>
      <c r="O87" s="14">
        <f>N87*ClaudeFxRate</f>
        <v/>
      </c>
      <c r="P87" t="inlineStr"/>
    </row>
    <row r="88">
      <c r="A88" s="26" t="n">
        <v>46280</v>
      </c>
      <c r="B88" t="inlineStr">
        <is>
          <t>ops</t>
        </is>
      </c>
      <c r="C88" t="inlineStr">
        <is>
          <t>merges, promotions &amp; deploys</t>
        </is>
      </c>
      <c r="D88" t="inlineStr"/>
      <c r="E88" t="inlineStr"/>
      <c r="F88" t="inlineStr">
        <is>
          <t>claude-opus-5-5</t>
        </is>
      </c>
      <c r="G88" t="inlineStr">
        <is>
          <t>claude-opus-5-5</t>
        </is>
      </c>
      <c r="H88" s="36" t="n">
        <v>11</v>
      </c>
      <c r="I88" s="36" t="n">
        <v>47</v>
      </c>
      <c r="J88" s="36" t="n">
        <v>34092</v>
      </c>
      <c r="K88" s="36" t="n">
        <v>3576</v>
      </c>
      <c r="L88" s="36" t="n">
        <v>1594796</v>
      </c>
      <c r="M88" s="36" t="n">
        <v>9097</v>
      </c>
      <c r="N88" s="14">
        <f>IFERROR((I88*VLOOKUP($G88,'Claude Prices'!$A$5:$G$22,3,FALSE)+J88*VLOOKUP($G88,'Claude Prices'!$A$5:$G$22,4,FALSE)+K88*VLOOKUP($G88,'Claude Prices'!$A$5:$G$22,5,FALSE)+L88*VLOOKUP($G88,'Claude Prices'!$A$5:$G$22,6,FALSE)+M88*VLOOKUP($G88,'Claude Prices'!$A$5:$G$22,7,FALSE))/1000000,0)</f>
        <v/>
      </c>
      <c r="O88" s="14">
        <f>N88*ClaudeFxRate</f>
        <v/>
      </c>
      <c r="P88" t="inlineStr"/>
    </row>
    <row r="89">
      <c r="A89" s="26" t="n">
        <v>46280</v>
      </c>
      <c r="B89" t="inlineStr">
        <is>
          <t>story</t>
        </is>
      </c>
      <c r="C89" t="inlineStr">
        <is>
          <t>PORTAL-105</t>
        </is>
      </c>
      <c r="D89" t="inlineStr">
        <is>
          <t>1.5</t>
        </is>
      </c>
      <c r="E89" t="inlineStr">
        <is>
          <t>Private endpoints and private DNS for lake, SQL, Key Vault and Event Hubs</t>
        </is>
      </c>
      <c r="F89" t="inlineStr">
        <is>
          <t>claude-opus-5-5</t>
        </is>
      </c>
      <c r="G89" t="inlineStr">
        <is>
          <t>claude-opus-5-5</t>
        </is>
      </c>
      <c r="H89" s="36" t="n">
        <v>58</v>
      </c>
      <c r="I89" s="36" t="n">
        <v>326</v>
      </c>
      <c r="J89" s="36" t="n">
        <v>173804</v>
      </c>
      <c r="K89" s="36" t="n">
        <v>18832</v>
      </c>
      <c r="L89" s="36" t="n">
        <v>8595759</v>
      </c>
      <c r="M89" s="36" t="n">
        <v>56718</v>
      </c>
      <c r="N89" s="14">
        <f>IFERROR((I89*VLOOKUP($G89,'Claude Prices'!$A$5:$G$22,3,FALSE)+J89*VLOOKUP($G89,'Claude Prices'!$A$5:$G$22,4,FALSE)+K89*VLOOKUP($G89,'Claude Prices'!$A$5:$G$22,5,FALSE)+L89*VLOOKUP($G89,'Claude Prices'!$A$5:$G$22,6,FALSE)+M89*VLOOKUP($G89,'Claude Prices'!$A$5:$G$22,7,FALSE))/1000000,0)</f>
        <v/>
      </c>
      <c r="O89" s="14">
        <f>N89*ClaudeFxRate</f>
        <v/>
      </c>
      <c r="P89" t="inlineStr"/>
    </row>
    <row r="90">
      <c r="A90" s="26" t="n">
        <v>46280</v>
      </c>
      <c r="B90" t="inlineStr">
        <is>
          <t>story</t>
        </is>
      </c>
      <c r="C90" t="inlineStr">
        <is>
          <t>PORTAL-106</t>
        </is>
      </c>
      <c r="D90" t="inlineStr">
        <is>
          <t>1.6</t>
        </is>
      </c>
      <c r="E90" t="inlineStr">
        <is>
          <t>Cost guardrails: Databricks cluster policy and clean terraform destroy</t>
        </is>
      </c>
      <c r="F90" t="inlineStr">
        <is>
          <t>claude-opus-5-5</t>
        </is>
      </c>
      <c r="G90" t="inlineStr">
        <is>
          <t>claude-opus-5-5</t>
        </is>
      </c>
      <c r="H90" s="36" t="n">
        <v>37</v>
      </c>
      <c r="I90" s="36" t="n">
        <v>260</v>
      </c>
      <c r="J90" s="36" t="n">
        <v>107895</v>
      </c>
      <c r="K90" s="36" t="n">
        <v>11877</v>
      </c>
      <c r="L90" s="36" t="n">
        <v>4948217</v>
      </c>
      <c r="M90" s="36" t="n">
        <v>29551</v>
      </c>
      <c r="N90" s="14">
        <f>IFERROR((I90*VLOOKUP($G90,'Claude Prices'!$A$5:$G$22,3,FALSE)+J90*VLOOKUP($G90,'Claude Prices'!$A$5:$G$22,4,FALSE)+K90*VLOOKUP($G90,'Claude Prices'!$A$5:$G$22,5,FALSE)+L90*VLOOKUP($G90,'Claude Prices'!$A$5:$G$22,6,FALSE)+M90*VLOOKUP($G90,'Claude Prices'!$A$5:$G$22,7,FALSE))/1000000,0)</f>
        <v/>
      </c>
      <c r="O90" s="14">
        <f>N90*ClaudeFxRate</f>
        <v/>
      </c>
      <c r="P90" t="inlineStr"/>
    </row>
    <row r="91">
      <c r="A91" s="26" t="n">
        <v>46281</v>
      </c>
      <c r="B91" t="inlineStr">
        <is>
          <t>ops</t>
        </is>
      </c>
      <c r="C91" t="inlineStr">
        <is>
          <t>merges, promotions &amp; deploys</t>
        </is>
      </c>
      <c r="D91" t="inlineStr"/>
      <c r="E91" t="inlineStr"/>
      <c r="F91" t="inlineStr">
        <is>
          <t>claude-opus-5-5</t>
        </is>
      </c>
      <c r="G91" t="inlineStr">
        <is>
          <t>claude-opus-5-5</t>
        </is>
      </c>
      <c r="H91" s="36" t="n">
        <v>5</v>
      </c>
      <c r="I91" s="36" t="n">
        <v>33</v>
      </c>
      <c r="J91" s="36" t="n">
        <v>16927</v>
      </c>
      <c r="K91" s="36" t="n">
        <v>2219</v>
      </c>
      <c r="L91" s="36" t="n">
        <v>769659</v>
      </c>
      <c r="M91" s="36" t="n">
        <v>4631</v>
      </c>
      <c r="N91" s="14">
        <f>IFERROR((I91*VLOOKUP($G91,'Claude Prices'!$A$5:$G$22,3,FALSE)+J91*VLOOKUP($G91,'Claude Prices'!$A$5:$G$22,4,FALSE)+K91*VLOOKUP($G91,'Claude Prices'!$A$5:$G$22,5,FALSE)+L91*VLOOKUP($G91,'Claude Prices'!$A$5:$G$22,6,FALSE)+M91*VLOOKUP($G91,'Claude Prices'!$A$5:$G$22,7,FALSE))/1000000,0)</f>
        <v/>
      </c>
      <c r="O91" s="14">
        <f>N91*ClaudeFxRate</f>
        <v/>
      </c>
      <c r="P91" t="inlineStr"/>
    </row>
    <row r="92">
      <c r="A92" s="26" t="n">
        <v>46281</v>
      </c>
      <c r="B92" t="inlineStr">
        <is>
          <t>story</t>
        </is>
      </c>
      <c r="C92" t="inlineStr">
        <is>
          <t>PORTAL-106</t>
        </is>
      </c>
      <c r="D92" t="inlineStr">
        <is>
          <t>1.6</t>
        </is>
      </c>
      <c r="E92" t="inlineStr">
        <is>
          <t>Cost guardrails: Databricks cluster policy and clean terraform destroy</t>
        </is>
      </c>
      <c r="F92" t="inlineStr">
        <is>
          <t>claude-opus-5-5</t>
        </is>
      </c>
      <c r="G92" t="inlineStr">
        <is>
          <t>claude-opus-5-5</t>
        </is>
      </c>
      <c r="H92" s="36" t="n">
        <v>45</v>
      </c>
      <c r="I92" s="36" t="n">
        <v>222</v>
      </c>
      <c r="J92" s="36" t="n">
        <v>120302</v>
      </c>
      <c r="K92" s="36" t="n">
        <v>13976</v>
      </c>
      <c r="L92" s="36" t="n">
        <v>6091433</v>
      </c>
      <c r="M92" s="36" t="n">
        <v>33766</v>
      </c>
      <c r="N92" s="14">
        <f>IFERROR((I92*VLOOKUP($G92,'Claude Prices'!$A$5:$G$22,3,FALSE)+J92*VLOOKUP($G92,'Claude Prices'!$A$5:$G$22,4,FALSE)+K92*VLOOKUP($G92,'Claude Prices'!$A$5:$G$22,5,FALSE)+L92*VLOOKUP($G92,'Claude Prices'!$A$5:$G$22,6,FALSE)+M92*VLOOKUP($G92,'Claude Prices'!$A$5:$G$22,7,FALSE))/1000000,0)</f>
        <v/>
      </c>
      <c r="O92" s="14">
        <f>N92*ClaudeFxRate</f>
        <v/>
      </c>
      <c r="P92" t="inlineStr"/>
    </row>
    <row r="93">
      <c r="A93" s="26" t="n">
        <v>46282</v>
      </c>
      <c r="B93" t="inlineStr">
        <is>
          <t>ops</t>
        </is>
      </c>
      <c r="C93" t="inlineStr">
        <is>
          <t>merges, promotions &amp; deploys</t>
        </is>
      </c>
      <c r="D93" t="inlineStr"/>
      <c r="E93" t="inlineStr"/>
      <c r="F93" t="inlineStr">
        <is>
          <t>claude-opus-5-5</t>
        </is>
      </c>
      <c r="G93" t="inlineStr">
        <is>
          <t>claude-opus-5-5</t>
        </is>
      </c>
      <c r="H93" s="36" t="n">
        <v>14</v>
      </c>
      <c r="I93" s="36" t="n">
        <v>107</v>
      </c>
      <c r="J93" s="36" t="n">
        <v>44874</v>
      </c>
      <c r="K93" s="36" t="n">
        <v>5273</v>
      </c>
      <c r="L93" s="36" t="n">
        <v>1938427</v>
      </c>
      <c r="M93" s="36" t="n">
        <v>10050</v>
      </c>
      <c r="N93" s="14">
        <f>IFERROR((I93*VLOOKUP($G93,'Claude Prices'!$A$5:$G$22,3,FALSE)+J93*VLOOKUP($G93,'Claude Prices'!$A$5:$G$22,4,FALSE)+K93*VLOOKUP($G93,'Claude Prices'!$A$5:$G$22,5,FALSE)+L93*VLOOKUP($G93,'Claude Prices'!$A$5:$G$22,6,FALSE)+M93*VLOOKUP($G93,'Claude Prices'!$A$5:$G$22,7,FALSE))/1000000,0)</f>
        <v/>
      </c>
      <c r="O93" s="14">
        <f>N93*ClaudeFxRate</f>
        <v/>
      </c>
      <c r="P93" t="inlineStr"/>
    </row>
    <row r="94">
      <c r="A94" s="26" t="n">
        <v>46282</v>
      </c>
      <c r="B94" t="inlineStr">
        <is>
          <t>story</t>
        </is>
      </c>
      <c r="C94" t="inlineStr">
        <is>
          <t>PORTAL-107</t>
        </is>
      </c>
      <c r="D94" t="inlineStr">
        <is>
          <t>2.1</t>
        </is>
      </c>
      <c r="E94" t="inlineStr">
        <is>
          <t>Entra External ID sign-in and company-scoped sessions</t>
        </is>
      </c>
      <c r="F94" t="inlineStr">
        <is>
          <t>claude-opus-5-5</t>
        </is>
      </c>
      <c r="G94" t="inlineStr">
        <is>
          <t>claude-opus-5-5</t>
        </is>
      </c>
      <c r="H94" s="36" t="n">
        <v>44</v>
      </c>
      <c r="I94" s="36" t="n">
        <v>312</v>
      </c>
      <c r="J94" s="36" t="n">
        <v>128971</v>
      </c>
      <c r="K94" s="36" t="n">
        <v>14932</v>
      </c>
      <c r="L94" s="36" t="n">
        <v>6288681</v>
      </c>
      <c r="M94" s="36" t="n">
        <v>40508</v>
      </c>
      <c r="N94" s="14">
        <f>IFERROR((I94*VLOOKUP($G94,'Claude Prices'!$A$5:$G$22,3,FALSE)+J94*VLOOKUP($G94,'Claude Prices'!$A$5:$G$22,4,FALSE)+K94*VLOOKUP($G94,'Claude Prices'!$A$5:$G$22,5,FALSE)+L94*VLOOKUP($G94,'Claude Prices'!$A$5:$G$22,6,FALSE)+M94*VLOOKUP($G94,'Claude Prices'!$A$5:$G$22,7,FALSE))/1000000,0)</f>
        <v/>
      </c>
      <c r="O94" s="14">
        <f>N94*ClaudeFxRate</f>
        <v/>
      </c>
      <c r="P94" t="inlineStr"/>
    </row>
    <row r="95">
      <c r="A95" s="26" t="n">
        <v>46283</v>
      </c>
      <c r="B95" t="inlineStr">
        <is>
          <t>ops</t>
        </is>
      </c>
      <c r="C95" t="inlineStr">
        <is>
          <t>merges, promotions &amp; deploys</t>
        </is>
      </c>
      <c r="D95" t="inlineStr"/>
      <c r="E95" t="inlineStr"/>
      <c r="F95" t="inlineStr">
        <is>
          <t>claude-opus-5-5</t>
        </is>
      </c>
      <c r="G95" t="inlineStr">
        <is>
          <t>claude-opus-5-5</t>
        </is>
      </c>
      <c r="H95" s="36" t="n">
        <v>7</v>
      </c>
      <c r="I95" s="36" t="n">
        <v>43</v>
      </c>
      <c r="J95" s="36" t="n">
        <v>23296</v>
      </c>
      <c r="K95" s="36" t="n">
        <v>2988</v>
      </c>
      <c r="L95" s="36" t="n">
        <v>1042987</v>
      </c>
      <c r="M95" s="36" t="n">
        <v>5174</v>
      </c>
      <c r="N95" s="14">
        <f>IFERROR((I95*VLOOKUP($G95,'Claude Prices'!$A$5:$G$22,3,FALSE)+J95*VLOOKUP($G95,'Claude Prices'!$A$5:$G$22,4,FALSE)+K95*VLOOKUP($G95,'Claude Prices'!$A$5:$G$22,5,FALSE)+L95*VLOOKUP($G95,'Claude Prices'!$A$5:$G$22,6,FALSE)+M95*VLOOKUP($G95,'Claude Prices'!$A$5:$G$22,7,FALSE))/1000000,0)</f>
        <v/>
      </c>
      <c r="O95" s="14">
        <f>N95*ClaudeFxRate</f>
        <v/>
      </c>
      <c r="P95" t="inlineStr"/>
    </row>
    <row r="96">
      <c r="A96" s="26" t="n">
        <v>46283</v>
      </c>
      <c r="B96" t="inlineStr">
        <is>
          <t>story</t>
        </is>
      </c>
      <c r="C96" t="inlineStr">
        <is>
          <t>PORTAL-107</t>
        </is>
      </c>
      <c r="D96" t="inlineStr">
        <is>
          <t>2.1</t>
        </is>
      </c>
      <c r="E96" t="inlineStr">
        <is>
          <t>Entra External ID sign-in and company-scoped sessions</t>
        </is>
      </c>
      <c r="F96" t="inlineStr">
        <is>
          <t>claude-opus-5-5</t>
        </is>
      </c>
      <c r="G96" t="inlineStr">
        <is>
          <t>claude-opus-5-5</t>
        </is>
      </c>
      <c r="H96" s="36" t="n">
        <v>69</v>
      </c>
      <c r="I96" s="36" t="n">
        <v>481</v>
      </c>
      <c r="J96" s="36" t="n">
        <v>211417</v>
      </c>
      <c r="K96" s="36" t="n">
        <v>25722</v>
      </c>
      <c r="L96" s="36" t="n">
        <v>10560405</v>
      </c>
      <c r="M96" s="36" t="n">
        <v>62698</v>
      </c>
      <c r="N96" s="14">
        <f>IFERROR((I96*VLOOKUP($G96,'Claude Prices'!$A$5:$G$22,3,FALSE)+J96*VLOOKUP($G96,'Claude Prices'!$A$5:$G$22,4,FALSE)+K96*VLOOKUP($G96,'Claude Prices'!$A$5:$G$22,5,FALSE)+L96*VLOOKUP($G96,'Claude Prices'!$A$5:$G$22,6,FALSE)+M96*VLOOKUP($G96,'Claude Prices'!$A$5:$G$22,7,FALSE))/1000000,0)</f>
        <v/>
      </c>
      <c r="O96" s="14">
        <f>N96*ClaudeFxRate</f>
        <v/>
      </c>
      <c r="P96" t="inlineStr"/>
    </row>
    <row r="97">
      <c r="A97" s="26" t="n">
        <v>46286</v>
      </c>
      <c r="B97" t="inlineStr">
        <is>
          <t>ops</t>
        </is>
      </c>
      <c r="C97" t="inlineStr">
        <is>
          <t>merges, promotions &amp; deploys</t>
        </is>
      </c>
      <c r="D97" t="inlineStr"/>
      <c r="E97" t="inlineStr"/>
      <c r="F97" t="inlineStr">
        <is>
          <t>claude-opus-5-5</t>
        </is>
      </c>
      <c r="G97" t="inlineStr">
        <is>
          <t>claude-opus-5-5</t>
        </is>
      </c>
      <c r="H97" s="36" t="n">
        <v>9</v>
      </c>
      <c r="I97" s="36" t="n">
        <v>45</v>
      </c>
      <c r="J97" s="36" t="n">
        <v>31007</v>
      </c>
      <c r="K97" s="36" t="n">
        <v>3778</v>
      </c>
      <c r="L97" s="36" t="n">
        <v>1461821</v>
      </c>
      <c r="M97" s="36" t="n">
        <v>8079</v>
      </c>
      <c r="N97" s="14">
        <f>IFERROR((I97*VLOOKUP($G97,'Claude Prices'!$A$5:$G$22,3,FALSE)+J97*VLOOKUP($G97,'Claude Prices'!$A$5:$G$22,4,FALSE)+K97*VLOOKUP($G97,'Claude Prices'!$A$5:$G$22,5,FALSE)+L97*VLOOKUP($G97,'Claude Prices'!$A$5:$G$22,6,FALSE)+M97*VLOOKUP($G97,'Claude Prices'!$A$5:$G$22,7,FALSE))/1000000,0)</f>
        <v/>
      </c>
      <c r="O97" s="14">
        <f>N97*ClaudeFxRate</f>
        <v/>
      </c>
      <c r="P97" t="inlineStr"/>
    </row>
    <row r="98">
      <c r="A98" s="26" t="n">
        <v>46286</v>
      </c>
      <c r="B98" t="inlineStr">
        <is>
          <t>story</t>
        </is>
      </c>
      <c r="C98" t="inlineStr">
        <is>
          <t>PORTAL-107</t>
        </is>
      </c>
      <c r="D98" t="inlineStr">
        <is>
          <t>2.1</t>
        </is>
      </c>
      <c r="E98" t="inlineStr">
        <is>
          <t>Entra External ID sign-in and company-scoped sessions</t>
        </is>
      </c>
      <c r="F98" t="inlineStr">
        <is>
          <t>claude-opus-5-5</t>
        </is>
      </c>
      <c r="G98" t="inlineStr">
        <is>
          <t>claude-opus-5-5</t>
        </is>
      </c>
      <c r="H98" s="36" t="n">
        <v>77</v>
      </c>
      <c r="I98" s="36" t="n">
        <v>485</v>
      </c>
      <c r="J98" s="36" t="n">
        <v>243384</v>
      </c>
      <c r="K98" s="36" t="n">
        <v>30101</v>
      </c>
      <c r="L98" s="36" t="n">
        <v>12062791</v>
      </c>
      <c r="M98" s="36" t="n">
        <v>66635</v>
      </c>
      <c r="N98" s="14">
        <f>IFERROR((I98*VLOOKUP($G98,'Claude Prices'!$A$5:$G$22,3,FALSE)+J98*VLOOKUP($G98,'Claude Prices'!$A$5:$G$22,4,FALSE)+K98*VLOOKUP($G98,'Claude Prices'!$A$5:$G$22,5,FALSE)+L98*VLOOKUP($G98,'Claude Prices'!$A$5:$G$22,6,FALSE)+M98*VLOOKUP($G98,'Claude Prices'!$A$5:$G$22,7,FALSE))/1000000,0)</f>
        <v/>
      </c>
      <c r="O98" s="14">
        <f>N98*ClaudeFxRate</f>
        <v/>
      </c>
      <c r="P98" t="inlineStr"/>
    </row>
    <row r="99">
      <c r="A99" s="26" t="n">
        <v>46286</v>
      </c>
      <c r="B99" t="inlineStr">
        <is>
          <t>story</t>
        </is>
      </c>
      <c r="C99" t="inlineStr">
        <is>
          <t>PORTAL-108</t>
        </is>
      </c>
      <c r="D99" t="inlineStr">
        <is>
          <t>2.2</t>
        </is>
      </c>
      <c r="E99" t="inlineStr">
        <is>
          <t>Row-level security for company isolation with blocked-access logging</t>
        </is>
      </c>
      <c r="F99" t="inlineStr">
        <is>
          <t>claude-opus-5-5</t>
        </is>
      </c>
      <c r="G99" t="inlineStr">
        <is>
          <t>claude-opus-5-5</t>
        </is>
      </c>
      <c r="H99" s="36" t="n">
        <v>44</v>
      </c>
      <c r="I99" s="36" t="n">
        <v>304</v>
      </c>
      <c r="J99" s="36" t="n">
        <v>135137</v>
      </c>
      <c r="K99" s="36" t="n">
        <v>15932</v>
      </c>
      <c r="L99" s="36" t="n">
        <v>6496977</v>
      </c>
      <c r="M99" s="36" t="n">
        <v>38883</v>
      </c>
      <c r="N99" s="14">
        <f>IFERROR((I99*VLOOKUP($G99,'Claude Prices'!$A$5:$G$22,3,FALSE)+J99*VLOOKUP($G99,'Claude Prices'!$A$5:$G$22,4,FALSE)+K99*VLOOKUP($G99,'Claude Prices'!$A$5:$G$22,5,FALSE)+L99*VLOOKUP($G99,'Claude Prices'!$A$5:$G$22,6,FALSE)+M99*VLOOKUP($G99,'Claude Prices'!$A$5:$G$22,7,FALSE))/1000000,0)</f>
        <v/>
      </c>
      <c r="O99" s="14">
        <f>N99*ClaudeFxRate</f>
        <v/>
      </c>
      <c r="P99" t="inlineStr"/>
    </row>
    <row r="100">
      <c r="A100" s="26" t="n">
        <v>46287</v>
      </c>
      <c r="B100" t="inlineStr">
        <is>
          <t>ops</t>
        </is>
      </c>
      <c r="C100" t="inlineStr">
        <is>
          <t>merges, promotions &amp; deploys</t>
        </is>
      </c>
      <c r="D100" t="inlineStr"/>
      <c r="E100" t="inlineStr"/>
      <c r="F100" t="inlineStr">
        <is>
          <t>claude-opus-5-5</t>
        </is>
      </c>
      <c r="G100" t="inlineStr">
        <is>
          <t>claude-opus-5-5</t>
        </is>
      </c>
      <c r="H100" s="36" t="n">
        <v>14</v>
      </c>
      <c r="I100" s="36" t="n">
        <v>111</v>
      </c>
      <c r="J100" s="36" t="n">
        <v>41047</v>
      </c>
      <c r="K100" s="36" t="n">
        <v>5481</v>
      </c>
      <c r="L100" s="36" t="n">
        <v>1997444</v>
      </c>
      <c r="M100" s="36" t="n">
        <v>9986</v>
      </c>
      <c r="N100" s="14">
        <f>IFERROR((I100*VLOOKUP($G100,'Claude Prices'!$A$5:$G$22,3,FALSE)+J100*VLOOKUP($G100,'Claude Prices'!$A$5:$G$22,4,FALSE)+K100*VLOOKUP($G100,'Claude Prices'!$A$5:$G$22,5,FALSE)+L100*VLOOKUP($G100,'Claude Prices'!$A$5:$G$22,6,FALSE)+M100*VLOOKUP($G100,'Claude Prices'!$A$5:$G$22,7,FALSE))/1000000,0)</f>
        <v/>
      </c>
      <c r="O100" s="14">
        <f>N100*ClaudeFxRate</f>
        <v/>
      </c>
      <c r="P100" t="inlineStr"/>
    </row>
    <row r="101">
      <c r="A101" s="26" t="n">
        <v>46287</v>
      </c>
      <c r="B101" t="inlineStr">
        <is>
          <t>story</t>
        </is>
      </c>
      <c r="C101" t="inlineStr">
        <is>
          <t>PORTAL-108</t>
        </is>
      </c>
      <c r="D101" t="inlineStr">
        <is>
          <t>2.2</t>
        </is>
      </c>
      <c r="E101" t="inlineStr">
        <is>
          <t>Row-level security for company isolation with blocked-access logging</t>
        </is>
      </c>
      <c r="F101" t="inlineStr">
        <is>
          <t>claude-opus-5-5</t>
        </is>
      </c>
      <c r="G101" t="inlineStr">
        <is>
          <t>claude-opus-5-5</t>
        </is>
      </c>
      <c r="H101" s="36" t="n">
        <v>36</v>
      </c>
      <c r="I101" s="36" t="n">
        <v>210</v>
      </c>
      <c r="J101" s="36" t="n">
        <v>104405</v>
      </c>
      <c r="K101" s="36" t="n">
        <v>12395</v>
      </c>
      <c r="L101" s="36" t="n">
        <v>4780417</v>
      </c>
      <c r="M101" s="36" t="n">
        <v>30800</v>
      </c>
      <c r="N101" s="14">
        <f>IFERROR((I101*VLOOKUP($G101,'Claude Prices'!$A$5:$G$22,3,FALSE)+J101*VLOOKUP($G101,'Claude Prices'!$A$5:$G$22,4,FALSE)+K101*VLOOKUP($G101,'Claude Prices'!$A$5:$G$22,5,FALSE)+L101*VLOOKUP($G101,'Claude Prices'!$A$5:$G$22,6,FALSE)+M101*VLOOKUP($G101,'Claude Prices'!$A$5:$G$22,7,FALSE))/1000000,0)</f>
        <v/>
      </c>
      <c r="O101" s="14">
        <f>N101*ClaudeFxRate</f>
        <v/>
      </c>
      <c r="P101" t="inlineStr"/>
    </row>
    <row r="102">
      <c r="A102" s="26" t="n">
        <v>46288</v>
      </c>
      <c r="B102" t="inlineStr">
        <is>
          <t>ops</t>
        </is>
      </c>
      <c r="C102" t="inlineStr">
        <is>
          <t>merges, promotions &amp; deploys</t>
        </is>
      </c>
      <c r="D102" t="inlineStr"/>
      <c r="E102" t="inlineStr"/>
      <c r="F102" t="inlineStr">
        <is>
          <t>claude-opus-5-5</t>
        </is>
      </c>
      <c r="G102" t="inlineStr">
        <is>
          <t>claude-opus-5-5</t>
        </is>
      </c>
      <c r="H102" s="36" t="n">
        <v>9</v>
      </c>
      <c r="I102" s="36" t="n">
        <v>65</v>
      </c>
      <c r="J102" s="36" t="n">
        <v>32499</v>
      </c>
      <c r="K102" s="36" t="n">
        <v>3303</v>
      </c>
      <c r="L102" s="36" t="n">
        <v>1472429</v>
      </c>
      <c r="M102" s="36" t="n">
        <v>8022</v>
      </c>
      <c r="N102" s="14">
        <f>IFERROR((I102*VLOOKUP($G102,'Claude Prices'!$A$5:$G$22,3,FALSE)+J102*VLOOKUP($G102,'Claude Prices'!$A$5:$G$22,4,FALSE)+K102*VLOOKUP($G102,'Claude Prices'!$A$5:$G$22,5,FALSE)+L102*VLOOKUP($G102,'Claude Prices'!$A$5:$G$22,6,FALSE)+M102*VLOOKUP($G102,'Claude Prices'!$A$5:$G$22,7,FALSE))/1000000,0)</f>
        <v/>
      </c>
      <c r="O102" s="14">
        <f>N102*ClaudeFxRate</f>
        <v/>
      </c>
      <c r="P102" t="inlineStr"/>
    </row>
    <row r="103">
      <c r="A103" s="26" t="n">
        <v>46288</v>
      </c>
      <c r="B103" t="inlineStr">
        <is>
          <t>story</t>
        </is>
      </c>
      <c r="C103" t="inlineStr">
        <is>
          <t>PORTAL-108</t>
        </is>
      </c>
      <c r="D103" t="inlineStr">
        <is>
          <t>2.2</t>
        </is>
      </c>
      <c r="E103" t="inlineStr">
        <is>
          <t>Row-level security for company isolation with blocked-access logging</t>
        </is>
      </c>
      <c r="F103" t="inlineStr">
        <is>
          <t>claude-opus-5-5</t>
        </is>
      </c>
      <c r="G103" t="inlineStr">
        <is>
          <t>claude-opus-5-5</t>
        </is>
      </c>
      <c r="H103" s="36" t="n">
        <v>53</v>
      </c>
      <c r="I103" s="36" t="n">
        <v>278</v>
      </c>
      <c r="J103" s="36" t="n">
        <v>144969</v>
      </c>
      <c r="K103" s="36" t="n">
        <v>15749</v>
      </c>
      <c r="L103" s="36" t="n">
        <v>6603437</v>
      </c>
      <c r="M103" s="36" t="n">
        <v>41995</v>
      </c>
      <c r="N103" s="14">
        <f>IFERROR((I103*VLOOKUP($G103,'Claude Prices'!$A$5:$G$22,3,FALSE)+J103*VLOOKUP($G103,'Claude Prices'!$A$5:$G$22,4,FALSE)+K103*VLOOKUP($G103,'Claude Prices'!$A$5:$G$22,5,FALSE)+L103*VLOOKUP($G103,'Claude Prices'!$A$5:$G$22,6,FALSE)+M103*VLOOKUP($G103,'Claude Prices'!$A$5:$G$22,7,FALSE))/1000000,0)</f>
        <v/>
      </c>
      <c r="O103" s="14">
        <f>N103*ClaudeFxRate</f>
        <v/>
      </c>
      <c r="P103" t="inlineStr"/>
    </row>
    <row r="104">
      <c r="A104" s="26" t="n">
        <v>46289</v>
      </c>
      <c r="B104" t="inlineStr">
        <is>
          <t>ops</t>
        </is>
      </c>
      <c r="C104" t="inlineStr">
        <is>
          <t>merges, promotions &amp; deploys</t>
        </is>
      </c>
      <c r="D104" t="inlineStr"/>
      <c r="E104" t="inlineStr"/>
      <c r="F104" t="inlineStr">
        <is>
          <t>claude-opus-5-5</t>
        </is>
      </c>
      <c r="G104" t="inlineStr">
        <is>
          <t>claude-opus-5-5</t>
        </is>
      </c>
      <c r="H104" s="36" t="n">
        <v>9</v>
      </c>
      <c r="I104" s="36" t="n">
        <v>66</v>
      </c>
      <c r="J104" s="36" t="n">
        <v>31602</v>
      </c>
      <c r="K104" s="36" t="n">
        <v>3911</v>
      </c>
      <c r="L104" s="36" t="n">
        <v>1544452</v>
      </c>
      <c r="M104" s="36" t="n">
        <v>10963</v>
      </c>
      <c r="N104" s="14">
        <f>IFERROR((I104*VLOOKUP($G104,'Claude Prices'!$A$5:$G$22,3,FALSE)+J104*VLOOKUP($G104,'Claude Prices'!$A$5:$G$22,4,FALSE)+K104*VLOOKUP($G104,'Claude Prices'!$A$5:$G$22,5,FALSE)+L104*VLOOKUP($G104,'Claude Prices'!$A$5:$G$22,6,FALSE)+M104*VLOOKUP($G104,'Claude Prices'!$A$5:$G$22,7,FALSE))/1000000,0)</f>
        <v/>
      </c>
      <c r="O104" s="14">
        <f>N104*ClaudeFxRate</f>
        <v/>
      </c>
      <c r="P104" t="inlineStr"/>
    </row>
    <row r="105">
      <c r="A105" s="26" t="n">
        <v>46289</v>
      </c>
      <c r="B105" t="inlineStr">
        <is>
          <t>story</t>
        </is>
      </c>
      <c r="C105" t="inlineStr">
        <is>
          <t>PORTAL-108</t>
        </is>
      </c>
      <c r="D105" t="inlineStr">
        <is>
          <t>2.2</t>
        </is>
      </c>
      <c r="E105" t="inlineStr">
        <is>
          <t>Row-level security for company isolation with blocked-access logging</t>
        </is>
      </c>
      <c r="F105" t="inlineStr">
        <is>
          <t>claude-opus-5-5</t>
        </is>
      </c>
      <c r="G105" t="inlineStr">
        <is>
          <t>claude-opus-5-5</t>
        </is>
      </c>
      <c r="H105" s="36" t="n">
        <v>45</v>
      </c>
      <c r="I105" s="36" t="n">
        <v>297</v>
      </c>
      <c r="J105" s="36" t="n">
        <v>144081</v>
      </c>
      <c r="K105" s="36" t="n">
        <v>16395</v>
      </c>
      <c r="L105" s="36" t="n">
        <v>6667936</v>
      </c>
      <c r="M105" s="36" t="n">
        <v>45700</v>
      </c>
      <c r="N105" s="14">
        <f>IFERROR((I105*VLOOKUP($G105,'Claude Prices'!$A$5:$G$22,3,FALSE)+J105*VLOOKUP($G105,'Claude Prices'!$A$5:$G$22,4,FALSE)+K105*VLOOKUP($G105,'Claude Prices'!$A$5:$G$22,5,FALSE)+L105*VLOOKUP($G105,'Claude Prices'!$A$5:$G$22,6,FALSE)+M105*VLOOKUP($G105,'Claude Prices'!$A$5:$G$22,7,FALSE))/1000000,0)</f>
        <v/>
      </c>
      <c r="O105" s="14">
        <f>N105*ClaudeFxRate</f>
        <v/>
      </c>
      <c r="P105" t="inlineStr"/>
    </row>
    <row r="106">
      <c r="A106" s="26" t="n">
        <v>46289</v>
      </c>
      <c r="B106" t="inlineStr">
        <is>
          <t>story</t>
        </is>
      </c>
      <c r="C106" t="inlineStr">
        <is>
          <t>PORTAL-109</t>
        </is>
      </c>
      <c r="D106" t="inlineStr">
        <is>
          <t>2.3</t>
        </is>
      </c>
      <c r="E106" t="inlineStr">
        <is>
          <t>Cash position and liquidity dashboard from the serving schema</t>
        </is>
      </c>
      <c r="F106" t="inlineStr">
        <is>
          <t>claude-opus-5-5</t>
        </is>
      </c>
      <c r="G106" t="inlineStr">
        <is>
          <t>claude-opus-5-5</t>
        </is>
      </c>
      <c r="H106" s="36" t="n">
        <v>58</v>
      </c>
      <c r="I106" s="36" t="n">
        <v>257</v>
      </c>
      <c r="J106" s="36" t="n">
        <v>173624</v>
      </c>
      <c r="K106" s="36" t="n">
        <v>16130</v>
      </c>
      <c r="L106" s="36" t="n">
        <v>8384494</v>
      </c>
      <c r="M106" s="36" t="n">
        <v>50071</v>
      </c>
      <c r="N106" s="14">
        <f>IFERROR((I106*VLOOKUP($G106,'Claude Prices'!$A$5:$G$22,3,FALSE)+J106*VLOOKUP($G106,'Claude Prices'!$A$5:$G$22,4,FALSE)+K106*VLOOKUP($G106,'Claude Prices'!$A$5:$G$22,5,FALSE)+L106*VLOOKUP($G106,'Claude Prices'!$A$5:$G$22,6,FALSE)+M106*VLOOKUP($G106,'Claude Prices'!$A$5:$G$22,7,FALSE))/1000000,0)</f>
        <v/>
      </c>
      <c r="O106" s="14">
        <f>N106*ClaudeFxRate</f>
        <v/>
      </c>
      <c r="P106" t="inlineStr"/>
    </row>
    <row r="107">
      <c r="A107" s="26" t="n">
        <v>46290</v>
      </c>
      <c r="B107" t="inlineStr">
        <is>
          <t>ops</t>
        </is>
      </c>
      <c r="C107" t="inlineStr">
        <is>
          <t>merges, promotions &amp; deploys</t>
        </is>
      </c>
      <c r="D107" t="inlineStr"/>
      <c r="E107" t="inlineStr"/>
      <c r="F107" t="inlineStr">
        <is>
          <t>claude-opus-5-5</t>
        </is>
      </c>
      <c r="G107" t="inlineStr">
        <is>
          <t>claude-opus-5-5</t>
        </is>
      </c>
      <c r="H107" s="36" t="n">
        <v>10</v>
      </c>
      <c r="I107" s="36" t="n">
        <v>68</v>
      </c>
      <c r="J107" s="36" t="n">
        <v>32174</v>
      </c>
      <c r="K107" s="36" t="n">
        <v>3343</v>
      </c>
      <c r="L107" s="36" t="n">
        <v>1531137</v>
      </c>
      <c r="M107" s="36" t="n">
        <v>7254</v>
      </c>
      <c r="N107" s="14">
        <f>IFERROR((I107*VLOOKUP($G107,'Claude Prices'!$A$5:$G$22,3,FALSE)+J107*VLOOKUP($G107,'Claude Prices'!$A$5:$G$22,4,FALSE)+K107*VLOOKUP($G107,'Claude Prices'!$A$5:$G$22,5,FALSE)+L107*VLOOKUP($G107,'Claude Prices'!$A$5:$G$22,6,FALSE)+M107*VLOOKUP($G107,'Claude Prices'!$A$5:$G$22,7,FALSE))/1000000,0)</f>
        <v/>
      </c>
      <c r="O107" s="14">
        <f>N107*ClaudeFxRate</f>
        <v/>
      </c>
      <c r="P107" t="inlineStr"/>
    </row>
    <row r="108">
      <c r="A108" s="26" t="n">
        <v>46290</v>
      </c>
      <c r="B108" t="inlineStr">
        <is>
          <t>story</t>
        </is>
      </c>
      <c r="C108" t="inlineStr">
        <is>
          <t>PORTAL-109</t>
        </is>
      </c>
      <c r="D108" t="inlineStr">
        <is>
          <t>2.3</t>
        </is>
      </c>
      <c r="E108" t="inlineStr">
        <is>
          <t>Cash position and liquidity dashboard from the serving schema</t>
        </is>
      </c>
      <c r="F108" t="inlineStr">
        <is>
          <t>claude-opus-5-5</t>
        </is>
      </c>
      <c r="G108" t="inlineStr">
        <is>
          <t>claude-opus-5-5</t>
        </is>
      </c>
      <c r="H108" s="36" t="n">
        <v>53</v>
      </c>
      <c r="I108" s="36" t="n">
        <v>379</v>
      </c>
      <c r="J108" s="36" t="n">
        <v>167224</v>
      </c>
      <c r="K108" s="36" t="n">
        <v>19525</v>
      </c>
      <c r="L108" s="36" t="n">
        <v>7911773</v>
      </c>
      <c r="M108" s="36" t="n">
        <v>49126</v>
      </c>
      <c r="N108" s="14">
        <f>IFERROR((I108*VLOOKUP($G108,'Claude Prices'!$A$5:$G$22,3,FALSE)+J108*VLOOKUP($G108,'Claude Prices'!$A$5:$G$22,4,FALSE)+K108*VLOOKUP($G108,'Claude Prices'!$A$5:$G$22,5,FALSE)+L108*VLOOKUP($G108,'Claude Prices'!$A$5:$G$22,6,FALSE)+M108*VLOOKUP($G108,'Claude Prices'!$A$5:$G$22,7,FALSE))/1000000,0)</f>
        <v/>
      </c>
      <c r="O108" s="14">
        <f>N108*ClaudeFxRate</f>
        <v/>
      </c>
      <c r="P108" t="inlineStr"/>
    </row>
    <row r="109">
      <c r="A109" s="26" t="n">
        <v>46293</v>
      </c>
      <c r="B109" t="inlineStr">
        <is>
          <t>ops</t>
        </is>
      </c>
      <c r="C109" t="inlineStr">
        <is>
          <t>merges, promotions &amp; deploys</t>
        </is>
      </c>
      <c r="D109" t="inlineStr"/>
      <c r="E109" t="inlineStr"/>
      <c r="F109" t="inlineStr">
        <is>
          <t>claude-opus-5-5</t>
        </is>
      </c>
      <c r="G109" t="inlineStr">
        <is>
          <t>claude-opus-5-5</t>
        </is>
      </c>
      <c r="H109" s="36" t="n">
        <v>9</v>
      </c>
      <c r="I109" s="36" t="n">
        <v>30</v>
      </c>
      <c r="J109" s="36" t="n">
        <v>31328</v>
      </c>
      <c r="K109" s="36" t="n">
        <v>3021</v>
      </c>
      <c r="L109" s="36" t="n">
        <v>1385585</v>
      </c>
      <c r="M109" s="36" t="n">
        <v>7209</v>
      </c>
      <c r="N109" s="14">
        <f>IFERROR((I109*VLOOKUP($G109,'Claude Prices'!$A$5:$G$22,3,FALSE)+J109*VLOOKUP($G109,'Claude Prices'!$A$5:$G$22,4,FALSE)+K109*VLOOKUP($G109,'Claude Prices'!$A$5:$G$22,5,FALSE)+L109*VLOOKUP($G109,'Claude Prices'!$A$5:$G$22,6,FALSE)+M109*VLOOKUP($G109,'Claude Prices'!$A$5:$G$22,7,FALSE))/1000000,0)</f>
        <v/>
      </c>
      <c r="O109" s="14">
        <f>N109*ClaudeFxRate</f>
        <v/>
      </c>
      <c r="P109" t="inlineStr"/>
    </row>
    <row r="110">
      <c r="A110" s="26" t="n">
        <v>46293</v>
      </c>
      <c r="B110" t="inlineStr">
        <is>
          <t>story</t>
        </is>
      </c>
      <c r="C110" t="inlineStr">
        <is>
          <t>PORTAL-109</t>
        </is>
      </c>
      <c r="D110" t="inlineStr">
        <is>
          <t>2.3</t>
        </is>
      </c>
      <c r="E110" t="inlineStr">
        <is>
          <t>Cash position and liquidity dashboard from the serving schema</t>
        </is>
      </c>
      <c r="F110" t="inlineStr">
        <is>
          <t>claude-opus-5-5</t>
        </is>
      </c>
      <c r="G110" t="inlineStr">
        <is>
          <t>claude-opus-5-5</t>
        </is>
      </c>
      <c r="H110" s="36" t="n">
        <v>37</v>
      </c>
      <c r="I110" s="36" t="n">
        <v>282</v>
      </c>
      <c r="J110" s="36" t="n">
        <v>123020</v>
      </c>
      <c r="K110" s="36" t="n">
        <v>13397</v>
      </c>
      <c r="L110" s="36" t="n">
        <v>5851398</v>
      </c>
      <c r="M110" s="36" t="n">
        <v>36902</v>
      </c>
      <c r="N110" s="14">
        <f>IFERROR((I110*VLOOKUP($G110,'Claude Prices'!$A$5:$G$22,3,FALSE)+J110*VLOOKUP($G110,'Claude Prices'!$A$5:$G$22,4,FALSE)+K110*VLOOKUP($G110,'Claude Prices'!$A$5:$G$22,5,FALSE)+L110*VLOOKUP($G110,'Claude Prices'!$A$5:$G$22,6,FALSE)+M110*VLOOKUP($G110,'Claude Prices'!$A$5:$G$22,7,FALSE))/1000000,0)</f>
        <v/>
      </c>
      <c r="O110" s="14">
        <f>N110*ClaudeFxRate</f>
        <v/>
      </c>
      <c r="P110" t="inlineStr"/>
    </row>
    <row r="111">
      <c r="A111" s="26" t="n">
        <v>46293</v>
      </c>
      <c r="B111" t="inlineStr">
        <is>
          <t>story</t>
        </is>
      </c>
      <c r="C111" t="inlineStr">
        <is>
          <t>PORTAL-110</t>
        </is>
      </c>
      <c r="D111" t="inlineStr">
        <is>
          <t>2.4</t>
        </is>
      </c>
      <c r="E111" t="inlineStr">
        <is>
          <t>Accounts, balances and transactions</t>
        </is>
      </c>
      <c r="F111" t="inlineStr">
        <is>
          <t>claude-opus-5-5</t>
        </is>
      </c>
      <c r="G111" t="inlineStr">
        <is>
          <t>claude-opus-5-5</t>
        </is>
      </c>
      <c r="H111" s="36" t="n">
        <v>29</v>
      </c>
      <c r="I111" s="36" t="n">
        <v>186</v>
      </c>
      <c r="J111" s="36" t="n">
        <v>101378</v>
      </c>
      <c r="K111" s="36" t="n">
        <v>10934</v>
      </c>
      <c r="L111" s="36" t="n">
        <v>4819365</v>
      </c>
      <c r="M111" s="36" t="n">
        <v>26083</v>
      </c>
      <c r="N111" s="14">
        <f>IFERROR((I111*VLOOKUP($G111,'Claude Prices'!$A$5:$G$22,3,FALSE)+J111*VLOOKUP($G111,'Claude Prices'!$A$5:$G$22,4,FALSE)+K111*VLOOKUP($G111,'Claude Prices'!$A$5:$G$22,5,FALSE)+L111*VLOOKUP($G111,'Claude Prices'!$A$5:$G$22,6,FALSE)+M111*VLOOKUP($G111,'Claude Prices'!$A$5:$G$22,7,FALSE))/1000000,0)</f>
        <v/>
      </c>
      <c r="O111" s="14">
        <f>N111*ClaudeFxRate</f>
        <v/>
      </c>
      <c r="P111" t="inlineStr"/>
    </row>
    <row r="112">
      <c r="A112" s="26" t="n">
        <v>46294</v>
      </c>
      <c r="B112" t="inlineStr">
        <is>
          <t>ops</t>
        </is>
      </c>
      <c r="C112" t="inlineStr">
        <is>
          <t>merges, promotions &amp; deploys</t>
        </is>
      </c>
      <c r="D112" t="inlineStr"/>
      <c r="E112" t="inlineStr"/>
      <c r="F112" t="inlineStr">
        <is>
          <t>claude-opus-5-5</t>
        </is>
      </c>
      <c r="G112" t="inlineStr">
        <is>
          <t>claude-opus-5-5</t>
        </is>
      </c>
      <c r="H112" s="36" t="n">
        <v>13</v>
      </c>
      <c r="I112" s="36" t="n">
        <v>72</v>
      </c>
      <c r="J112" s="36" t="n">
        <v>42645</v>
      </c>
      <c r="K112" s="36" t="n">
        <v>4544</v>
      </c>
      <c r="L112" s="36" t="n">
        <v>1774515</v>
      </c>
      <c r="M112" s="36" t="n">
        <v>11029</v>
      </c>
      <c r="N112" s="14">
        <f>IFERROR((I112*VLOOKUP($G112,'Claude Prices'!$A$5:$G$22,3,FALSE)+J112*VLOOKUP($G112,'Claude Prices'!$A$5:$G$22,4,FALSE)+K112*VLOOKUP($G112,'Claude Prices'!$A$5:$G$22,5,FALSE)+L112*VLOOKUP($G112,'Claude Prices'!$A$5:$G$22,6,FALSE)+M112*VLOOKUP($G112,'Claude Prices'!$A$5:$G$22,7,FALSE))/1000000,0)</f>
        <v/>
      </c>
      <c r="O112" s="14">
        <f>N112*ClaudeFxRate</f>
        <v/>
      </c>
      <c r="P112" t="inlineStr"/>
    </row>
    <row r="113">
      <c r="A113" s="26" t="n">
        <v>46294</v>
      </c>
      <c r="B113" t="inlineStr">
        <is>
          <t>story</t>
        </is>
      </c>
      <c r="C113" t="inlineStr">
        <is>
          <t>PORTAL-110</t>
        </is>
      </c>
      <c r="D113" t="inlineStr">
        <is>
          <t>2.4</t>
        </is>
      </c>
      <c r="E113" t="inlineStr">
        <is>
          <t>Accounts, balances and transactions</t>
        </is>
      </c>
      <c r="F113" t="inlineStr">
        <is>
          <t>claude-opus-5-5</t>
        </is>
      </c>
      <c r="G113" t="inlineStr">
        <is>
          <t>claude-opus-5-5</t>
        </is>
      </c>
      <c r="H113" s="36" t="n">
        <v>30</v>
      </c>
      <c r="I113" s="36" t="n">
        <v>137</v>
      </c>
      <c r="J113" s="36" t="n">
        <v>100434</v>
      </c>
      <c r="K113" s="36" t="n">
        <v>11537</v>
      </c>
      <c r="L113" s="36" t="n">
        <v>4767173</v>
      </c>
      <c r="M113" s="36" t="n">
        <v>27348</v>
      </c>
      <c r="N113" s="14">
        <f>IFERROR((I113*VLOOKUP($G113,'Claude Prices'!$A$5:$G$22,3,FALSE)+J113*VLOOKUP($G113,'Claude Prices'!$A$5:$G$22,4,FALSE)+K113*VLOOKUP($G113,'Claude Prices'!$A$5:$G$22,5,FALSE)+L113*VLOOKUP($G113,'Claude Prices'!$A$5:$G$22,6,FALSE)+M113*VLOOKUP($G113,'Claude Prices'!$A$5:$G$22,7,FALSE))/1000000,0)</f>
        <v/>
      </c>
      <c r="O113" s="14">
        <f>N113*ClaudeFxRate</f>
        <v/>
      </c>
      <c r="P113" t="inlineStr"/>
    </row>
    <row r="114">
      <c r="A114" s="26" t="n">
        <v>46295</v>
      </c>
      <c r="B114" t="inlineStr">
        <is>
          <t>ops</t>
        </is>
      </c>
      <c r="C114" t="inlineStr">
        <is>
          <t>merges, promotions &amp; deploys</t>
        </is>
      </c>
      <c r="D114" t="inlineStr"/>
      <c r="E114" t="inlineStr"/>
      <c r="F114" t="inlineStr">
        <is>
          <t>claude-opus-5-5</t>
        </is>
      </c>
      <c r="G114" t="inlineStr">
        <is>
          <t>claude-opus-5-5</t>
        </is>
      </c>
      <c r="H114" s="36" t="n">
        <v>9</v>
      </c>
      <c r="I114" s="36" t="n">
        <v>64</v>
      </c>
      <c r="J114" s="36" t="n">
        <v>29110</v>
      </c>
      <c r="K114" s="36" t="n">
        <v>3215</v>
      </c>
      <c r="L114" s="36" t="n">
        <v>1270343</v>
      </c>
      <c r="M114" s="36" t="n">
        <v>7615</v>
      </c>
      <c r="N114" s="14">
        <f>IFERROR((I114*VLOOKUP($G114,'Claude Prices'!$A$5:$G$22,3,FALSE)+J114*VLOOKUP($G114,'Claude Prices'!$A$5:$G$22,4,FALSE)+K114*VLOOKUP($G114,'Claude Prices'!$A$5:$G$22,5,FALSE)+L114*VLOOKUP($G114,'Claude Prices'!$A$5:$G$22,6,FALSE)+M114*VLOOKUP($G114,'Claude Prices'!$A$5:$G$22,7,FALSE))/1000000,0)</f>
        <v/>
      </c>
      <c r="O114" s="14">
        <f>N114*ClaudeFxRate</f>
        <v/>
      </c>
      <c r="P114" t="inlineStr"/>
    </row>
    <row r="115">
      <c r="A115" s="26" t="n">
        <v>46295</v>
      </c>
      <c r="B115" t="inlineStr">
        <is>
          <t>story</t>
        </is>
      </c>
      <c r="C115" t="inlineStr">
        <is>
          <t>PORTAL-110</t>
        </is>
      </c>
      <c r="D115" t="inlineStr">
        <is>
          <t>2.4</t>
        </is>
      </c>
      <c r="E115" t="inlineStr">
        <is>
          <t>Accounts, balances and transactions</t>
        </is>
      </c>
      <c r="F115" t="inlineStr">
        <is>
          <t>claude-opus-5-5</t>
        </is>
      </c>
      <c r="G115" t="inlineStr">
        <is>
          <t>claude-opus-5-5</t>
        </is>
      </c>
      <c r="H115" s="36" t="n">
        <v>31</v>
      </c>
      <c r="I115" s="36" t="n">
        <v>176</v>
      </c>
      <c r="J115" s="36" t="n">
        <v>88977</v>
      </c>
      <c r="K115" s="36" t="n">
        <v>11904</v>
      </c>
      <c r="L115" s="36" t="n">
        <v>4446821</v>
      </c>
      <c r="M115" s="36" t="n">
        <v>26254</v>
      </c>
      <c r="N115" s="14">
        <f>IFERROR((I115*VLOOKUP($G115,'Claude Prices'!$A$5:$G$22,3,FALSE)+J115*VLOOKUP($G115,'Claude Prices'!$A$5:$G$22,4,FALSE)+K115*VLOOKUP($G115,'Claude Prices'!$A$5:$G$22,5,FALSE)+L115*VLOOKUP($G115,'Claude Prices'!$A$5:$G$22,6,FALSE)+M115*VLOOKUP($G115,'Claude Prices'!$A$5:$G$22,7,FALSE))/1000000,0)</f>
        <v/>
      </c>
      <c r="O115" s="14">
        <f>N115*ClaudeFxRate</f>
        <v/>
      </c>
      <c r="P115" t="inlineStr"/>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H89"/>
  <sheetViews>
    <sheetView workbookViewId="0">
      <pane ySplit="4" topLeftCell="A5" activePane="bottomLeft" state="frozen"/>
      <selection pane="bottomLeft" activeCell="A1" sqref="A1"/>
    </sheetView>
  </sheetViews>
  <sheetFormatPr baseColWidth="8" defaultRowHeight="15"/>
  <cols>
    <col width="12" customWidth="1" min="1" max="1"/>
    <col width="36" customWidth="1" min="2" max="2"/>
    <col width="30" customWidth="1" min="3" max="3"/>
    <col width="12" customWidth="1" min="4" max="4"/>
    <col width="12" customWidth="1" min="5" max="5"/>
    <col width="12" customWidth="1" min="6" max="6"/>
    <col width="8" customWidth="1" min="7" max="7"/>
    <col width="14" customWidth="1" min="8" max="8"/>
  </cols>
  <sheetData>
    <row r="1">
      <c r="A1" s="1" t="inlineStr">
        <is>
          <t>Project timeline</t>
        </is>
      </c>
    </row>
    <row r="2">
      <c r="A2" t="inlineStr">
        <is>
          <t>Started 2026-07-27; still running;  calendar days, 48 working days. From git history of the BMad artifacts and sprint status, the agents' sanctums and the token ledger.</t>
        </is>
      </c>
    </row>
    <row r="4">
      <c r="A4" s="3" t="inlineStr">
        <is>
          <t>Category</t>
        </is>
      </c>
      <c r="B4" s="3" t="inlineStr">
        <is>
          <t>Name</t>
        </is>
      </c>
      <c r="C4" s="3" t="inlineStr">
        <is>
          <t>Detail</t>
        </is>
      </c>
      <c r="D4" s="3" t="inlineStr">
        <is>
          <t>Status</t>
        </is>
      </c>
      <c r="E4" s="3" t="inlineStr">
        <is>
          <t>Started</t>
        </is>
      </c>
      <c r="F4" s="3" t="inlineStr">
        <is>
          <t>Completed</t>
        </is>
      </c>
      <c r="G4" s="3" t="inlineStr">
        <is>
          <t>Days</t>
        </is>
      </c>
      <c r="H4" s="3" t="inlineStr">
        <is>
          <t>Source</t>
        </is>
      </c>
    </row>
    <row r="5">
      <c r="A5" t="inlineStr">
        <is>
          <t>project</t>
        </is>
      </c>
      <c r="B5" t="inlineStr">
        <is>
          <t>corportal</t>
        </is>
      </c>
      <c r="C5" t="inlineStr">
        <is>
          <t>48 working days</t>
        </is>
      </c>
      <c r="D5" t="inlineStr">
        <is>
          <t>in progress</t>
        </is>
      </c>
      <c r="E5" s="26" t="n">
        <v>46230</v>
      </c>
      <c r="F5" s="26" t="n"/>
      <c r="H5" t="inlineStr">
        <is>
          <t>summary</t>
        </is>
      </c>
    </row>
    <row r="6">
      <c r="A6" t="inlineStr">
        <is>
          <t>bmad stage</t>
        </is>
      </c>
      <c r="B6" t="inlineStr">
        <is>
          <t>spec / PRD</t>
        </is>
      </c>
      <c r="C6" t="inlineStr">
        <is>
          <t>_bmad-output/specs/spec-corporate-portal-poc/SPEC.md</t>
        </is>
      </c>
      <c r="D6" t="inlineStr"/>
      <c r="E6" s="26" t="n">
        <v>46232</v>
      </c>
      <c r="F6" s="26" t="n">
        <v>46238</v>
      </c>
      <c r="G6" t="n">
        <v>7</v>
      </c>
      <c r="H6" t="inlineStr">
        <is>
          <t>synthetic</t>
        </is>
      </c>
    </row>
    <row r="7">
      <c r="A7" t="inlineStr">
        <is>
          <t>bmad stage</t>
        </is>
      </c>
      <c r="B7" t="inlineStr">
        <is>
          <t>architecture</t>
        </is>
      </c>
      <c r="C7" t="inlineStr">
        <is>
          <t>_bmad-output/specs/spec-corporate-portal-poc/architecture-diagrams.md</t>
        </is>
      </c>
      <c r="D7" t="inlineStr"/>
      <c r="E7" s="26" t="n">
        <v>46239</v>
      </c>
      <c r="F7" s="26" t="n">
        <v>46248</v>
      </c>
      <c r="G7" t="n">
        <v>10</v>
      </c>
      <c r="H7" t="inlineStr">
        <is>
          <t>synthetic</t>
        </is>
      </c>
    </row>
    <row r="8">
      <c r="A8" t="inlineStr">
        <is>
          <t>bmad stage</t>
        </is>
      </c>
      <c r="B8" t="inlineStr">
        <is>
          <t>UX design</t>
        </is>
      </c>
      <c r="C8" t="inlineStr">
        <is>
          <t>_bmad-output/planning-artifacts/ux-designs/ux-corportal-2026-09-30/EXPERIENCE.md</t>
        </is>
      </c>
      <c r="D8" t="inlineStr"/>
      <c r="E8" s="26" t="n">
        <v>46244</v>
      </c>
      <c r="F8" s="26" t="n">
        <v>46253</v>
      </c>
      <c r="G8" t="n">
        <v>10</v>
      </c>
      <c r="H8" t="inlineStr">
        <is>
          <t>synthetic</t>
        </is>
      </c>
    </row>
    <row r="9">
      <c r="A9" t="inlineStr">
        <is>
          <t>bmad stage</t>
        </is>
      </c>
      <c r="B9" t="inlineStr">
        <is>
          <t>epics &amp; stories</t>
        </is>
      </c>
      <c r="C9" t="inlineStr">
        <is>
          <t>docs/costing/corportal-portfolio.estimate.json</t>
        </is>
      </c>
      <c r="D9" t="inlineStr"/>
      <c r="E9" s="26" t="n">
        <v>46258</v>
      </c>
      <c r="F9" s="26" t="n">
        <v>46261</v>
      </c>
      <c r="G9" t="n">
        <v>4</v>
      </c>
      <c r="H9" t="inlineStr">
        <is>
          <t>synthetic</t>
        </is>
      </c>
    </row>
    <row r="10">
      <c r="A10" t="inlineStr">
        <is>
          <t>bmad stage</t>
        </is>
      </c>
      <c r="B10" t="inlineStr">
        <is>
          <t>sprint status</t>
        </is>
      </c>
      <c r="C10" t="inlineStr">
        <is>
          <t>docs/costing/portfolio-ledger/project_timeline.csv</t>
        </is>
      </c>
      <c r="D10" t="inlineStr"/>
      <c r="E10" s="26" t="n">
        <v>46265</v>
      </c>
      <c r="F10" s="26" t="n">
        <v>46295</v>
      </c>
      <c r="G10" t="n">
        <v>31</v>
      </c>
      <c r="H10" t="inlineStr">
        <is>
          <t>synthetic</t>
        </is>
      </c>
    </row>
    <row r="11">
      <c r="A11" t="inlineStr">
        <is>
          <t>agent</t>
        </is>
      </c>
      <c r="B11" t="inlineStr">
        <is>
          <t>agent-jules</t>
        </is>
      </c>
      <c r="C11" t="inlineStr">
        <is>
          <t>5 session logs</t>
        </is>
      </c>
      <c r="D11" t="inlineStr"/>
      <c r="E11" s="26" t="n">
        <v>46251</v>
      </c>
      <c r="F11" s="26" t="n">
        <v>46255</v>
      </c>
      <c r="G11" t="n">
        <v>5</v>
      </c>
      <c r="H11" t="inlineStr">
        <is>
          <t>synthetic</t>
        </is>
      </c>
    </row>
    <row r="12">
      <c r="A12" t="inlineStr">
        <is>
          <t>agent</t>
        </is>
      </c>
      <c r="B12" t="inlineStr">
        <is>
          <t>agent-davinci</t>
        </is>
      </c>
      <c r="C12" t="inlineStr">
        <is>
          <t>4 session logs</t>
        </is>
      </c>
      <c r="D12" t="inlineStr"/>
      <c r="E12" s="26" t="n">
        <v>46252</v>
      </c>
      <c r="F12" s="26" t="n">
        <v>46258</v>
      </c>
      <c r="G12" t="n">
        <v>7</v>
      </c>
      <c r="H12" t="inlineStr">
        <is>
          <t>synthetic</t>
        </is>
      </c>
    </row>
    <row r="13">
      <c r="A13" t="inlineStr">
        <is>
          <t>agent</t>
        </is>
      </c>
      <c r="B13" t="inlineStr">
        <is>
          <t>agent-scrooge</t>
        </is>
      </c>
      <c r="C13" t="inlineStr">
        <is>
          <t>6 session logs</t>
        </is>
      </c>
      <c r="D13" t="inlineStr"/>
      <c r="E13" s="26" t="n">
        <v>46258</v>
      </c>
      <c r="F13" s="26" t="n">
        <v>46295</v>
      </c>
      <c r="G13" t="n">
        <v>38</v>
      </c>
      <c r="H13" t="inlineStr">
        <is>
          <t>synthetic</t>
        </is>
      </c>
    </row>
    <row r="14">
      <c r="A14" t="inlineStr">
        <is>
          <t>epic</t>
        </is>
      </c>
      <c r="B14" t="inlineStr">
        <is>
          <t>epic-1</t>
        </is>
      </c>
      <c r="C14" t="inlineStr">
        <is>
          <t>6 stories</t>
        </is>
      </c>
      <c r="D14" t="inlineStr">
        <is>
          <t>done</t>
        </is>
      </c>
      <c r="E14" s="26" t="n">
        <v>46265</v>
      </c>
      <c r="F14" s="26" t="n">
        <v>46281</v>
      </c>
      <c r="G14" t="n">
        <v>17</v>
      </c>
      <c r="H14" t="inlineStr">
        <is>
          <t>synthetic</t>
        </is>
      </c>
    </row>
    <row r="15">
      <c r="A15" t="inlineStr">
        <is>
          <t>story</t>
        </is>
      </c>
      <c r="B15" t="inlineStr">
        <is>
          <t>1-1-terraform-resource-groups-and</t>
        </is>
      </c>
      <c r="C15" t="inlineStr">
        <is>
          <t>epic-1</t>
        </is>
      </c>
      <c r="D15" t="inlineStr">
        <is>
          <t>done</t>
        </is>
      </c>
      <c r="E15" s="26" t="n">
        <v>46265</v>
      </c>
      <c r="F15" s="26" t="n">
        <v>46267</v>
      </c>
      <c r="G15" t="n">
        <v>3</v>
      </c>
      <c r="H15" t="inlineStr">
        <is>
          <t>synthetic</t>
        </is>
      </c>
    </row>
    <row r="16">
      <c r="A16" t="inlineStr">
        <is>
          <t>story</t>
        </is>
      </c>
      <c r="B16" t="inlineStr">
        <is>
          <t>1-2-aks-with-node-auto</t>
        </is>
      </c>
      <c r="C16" t="inlineStr">
        <is>
          <t>epic-1</t>
        </is>
      </c>
      <c r="D16" t="inlineStr">
        <is>
          <t>done</t>
        </is>
      </c>
      <c r="E16" s="26" t="n">
        <v>46267</v>
      </c>
      <c r="F16" s="26" t="n">
        <v>46272</v>
      </c>
      <c r="G16" t="n">
        <v>6</v>
      </c>
      <c r="H16" t="inlineStr">
        <is>
          <t>synthetic</t>
        </is>
      </c>
    </row>
    <row r="17">
      <c r="A17" t="inlineStr">
        <is>
          <t>story</t>
        </is>
      </c>
      <c r="B17" t="inlineStr">
        <is>
          <t>1-3-vault-with-key-vault</t>
        </is>
      </c>
      <c r="C17" t="inlineStr">
        <is>
          <t>epic-1</t>
        </is>
      </c>
      <c r="D17" t="inlineStr">
        <is>
          <t>done</t>
        </is>
      </c>
      <c r="E17" s="26" t="n">
        <v>46272</v>
      </c>
      <c r="F17" s="26" t="n">
        <v>46274</v>
      </c>
      <c r="G17" t="n">
        <v>3</v>
      </c>
      <c r="H17" t="inlineStr">
        <is>
          <t>synthetic</t>
        </is>
      </c>
    </row>
    <row r="18">
      <c r="A18" t="inlineStr">
        <is>
          <t>story</t>
        </is>
      </c>
      <c r="B18" t="inlineStr">
        <is>
          <t>1-4-parallel-microservice-image-builds</t>
        </is>
      </c>
      <c r="C18" t="inlineStr">
        <is>
          <t>epic-1</t>
        </is>
      </c>
      <c r="D18" t="inlineStr">
        <is>
          <t>done</t>
        </is>
      </c>
      <c r="E18" s="26" t="n">
        <v>46274</v>
      </c>
      <c r="F18" s="26" t="n">
        <v>46276</v>
      </c>
      <c r="G18" t="n">
        <v>3</v>
      </c>
      <c r="H18" t="inlineStr">
        <is>
          <t>synthetic</t>
        </is>
      </c>
    </row>
    <row r="19">
      <c r="A19" t="inlineStr">
        <is>
          <t>story</t>
        </is>
      </c>
      <c r="B19" t="inlineStr">
        <is>
          <t>1-5-private-endpoints-and-private</t>
        </is>
      </c>
      <c r="C19" t="inlineStr">
        <is>
          <t>epic-1</t>
        </is>
      </c>
      <c r="D19" t="inlineStr">
        <is>
          <t>done</t>
        </is>
      </c>
      <c r="E19" s="26" t="n">
        <v>46276</v>
      </c>
      <c r="F19" s="26" t="n">
        <v>46280</v>
      </c>
      <c r="G19" t="n">
        <v>5</v>
      </c>
      <c r="H19" t="inlineStr">
        <is>
          <t>synthetic</t>
        </is>
      </c>
    </row>
    <row r="20">
      <c r="A20" t="inlineStr">
        <is>
          <t>story</t>
        </is>
      </c>
      <c r="B20" t="inlineStr">
        <is>
          <t>1-6-cost-guardrails-databricks-cluster</t>
        </is>
      </c>
      <c r="C20" t="inlineStr">
        <is>
          <t>epic-1</t>
        </is>
      </c>
      <c r="D20" t="inlineStr">
        <is>
          <t>done</t>
        </is>
      </c>
      <c r="E20" s="26" t="n">
        <v>46280</v>
      </c>
      <c r="F20" s="26" t="n">
        <v>46281</v>
      </c>
      <c r="G20" t="n">
        <v>2</v>
      </c>
      <c r="H20" t="inlineStr">
        <is>
          <t>synthetic</t>
        </is>
      </c>
    </row>
    <row r="21">
      <c r="A21" t="inlineStr">
        <is>
          <t>epic</t>
        </is>
      </c>
      <c r="B21" t="inlineStr">
        <is>
          <t>epic-2</t>
        </is>
      </c>
      <c r="C21" t="inlineStr">
        <is>
          <t>6 stories</t>
        </is>
      </c>
      <c r="D21" t="inlineStr">
        <is>
          <t>in-progress</t>
        </is>
      </c>
      <c r="E21" s="26" t="n">
        <v>46282</v>
      </c>
      <c r="F21" s="26" t="n"/>
      <c r="H21" t="inlineStr">
        <is>
          <t>synthetic</t>
        </is>
      </c>
    </row>
    <row r="22">
      <c r="A22" t="inlineStr">
        <is>
          <t>story</t>
        </is>
      </c>
      <c r="B22" t="inlineStr">
        <is>
          <t>2-1-entra-external-id-sign-in</t>
        </is>
      </c>
      <c r="C22" t="inlineStr">
        <is>
          <t>epic-2</t>
        </is>
      </c>
      <c r="D22" t="inlineStr">
        <is>
          <t>done</t>
        </is>
      </c>
      <c r="E22" s="26" t="n">
        <v>46282</v>
      </c>
      <c r="F22" s="26" t="n">
        <v>46286</v>
      </c>
      <c r="G22" t="n">
        <v>5</v>
      </c>
      <c r="H22" t="inlineStr">
        <is>
          <t>synthetic</t>
        </is>
      </c>
    </row>
    <row r="23">
      <c r="A23" t="inlineStr">
        <is>
          <t>story</t>
        </is>
      </c>
      <c r="B23" t="inlineStr">
        <is>
          <t>2-2-row-level-security-for-company</t>
        </is>
      </c>
      <c r="C23" t="inlineStr">
        <is>
          <t>epic-2</t>
        </is>
      </c>
      <c r="D23" t="inlineStr">
        <is>
          <t>done</t>
        </is>
      </c>
      <c r="E23" s="26" t="n">
        <v>46286</v>
      </c>
      <c r="F23" s="26" t="n">
        <v>46289</v>
      </c>
      <c r="G23" t="n">
        <v>4</v>
      </c>
      <c r="H23" t="inlineStr">
        <is>
          <t>synthetic</t>
        </is>
      </c>
    </row>
    <row r="24">
      <c r="A24" t="inlineStr">
        <is>
          <t>story</t>
        </is>
      </c>
      <c r="B24" t="inlineStr">
        <is>
          <t>2-3-cash-position-and-liquidity</t>
        </is>
      </c>
      <c r="C24" t="inlineStr">
        <is>
          <t>epic-2</t>
        </is>
      </c>
      <c r="D24" t="inlineStr">
        <is>
          <t>done</t>
        </is>
      </c>
      <c r="E24" s="26" t="n">
        <v>46289</v>
      </c>
      <c r="F24" s="26" t="n">
        <v>46293</v>
      </c>
      <c r="G24" t="n">
        <v>5</v>
      </c>
      <c r="H24" t="inlineStr">
        <is>
          <t>synthetic</t>
        </is>
      </c>
    </row>
    <row r="25">
      <c r="A25" t="inlineStr">
        <is>
          <t>story</t>
        </is>
      </c>
      <c r="B25" t="inlineStr">
        <is>
          <t>2-4-accounts-balances-and-transactions</t>
        </is>
      </c>
      <c r="C25" t="inlineStr">
        <is>
          <t>epic-2</t>
        </is>
      </c>
      <c r="D25" t="inlineStr">
        <is>
          <t>in-progress</t>
        </is>
      </c>
      <c r="E25" s="26" t="n">
        <v>46293</v>
      </c>
      <c r="F25" s="26" t="n"/>
      <c r="H25" t="inlineStr">
        <is>
          <t>synthetic</t>
        </is>
      </c>
    </row>
    <row r="26">
      <c r="A26" t="inlineStr">
        <is>
          <t>story</t>
        </is>
      </c>
      <c r="B26" t="inlineStr">
        <is>
          <t>2-5-payment-creation-with-maker-checker</t>
        </is>
      </c>
      <c r="C26" t="inlineStr">
        <is>
          <t>epic-2</t>
        </is>
      </c>
      <c r="D26" t="inlineStr">
        <is>
          <t>backlog</t>
        </is>
      </c>
      <c r="E26" s="26" t="n"/>
      <c r="F26" s="26" t="n"/>
      <c r="H26" t="inlineStr">
        <is>
          <t>synthetic</t>
        </is>
      </c>
    </row>
    <row r="27">
      <c r="A27" t="inlineStr">
        <is>
          <t>story</t>
        </is>
      </c>
      <c r="B27" t="inlineStr">
        <is>
          <t>2-6-portal-chrome-region-badge</t>
        </is>
      </c>
      <c r="C27" t="inlineStr">
        <is>
          <t>epic-2</t>
        </is>
      </c>
      <c r="D27" t="inlineStr">
        <is>
          <t>backlog</t>
        </is>
      </c>
      <c r="E27" s="26" t="n"/>
      <c r="F27" s="26" t="n"/>
      <c r="H27" t="inlineStr">
        <is>
          <t>synthetic</t>
        </is>
      </c>
    </row>
    <row r="28">
      <c r="A28" t="inlineStr">
        <is>
          <t>epic</t>
        </is>
      </c>
      <c r="B28" t="inlineStr">
        <is>
          <t>epic-3</t>
        </is>
      </c>
      <c r="C28" t="inlineStr">
        <is>
          <t>5 stories</t>
        </is>
      </c>
      <c r="D28" t="inlineStr">
        <is>
          <t>backlog</t>
        </is>
      </c>
      <c r="E28" s="26" t="n"/>
      <c r="F28" s="26" t="n"/>
      <c r="H28" t="inlineStr">
        <is>
          <t>synthetic</t>
        </is>
      </c>
    </row>
    <row r="29">
      <c r="A29" t="inlineStr">
        <is>
          <t>story</t>
        </is>
      </c>
      <c r="B29" t="inlineStr">
        <is>
          <t>3-1-seeded-synthetic-world-companies</t>
        </is>
      </c>
      <c r="C29" t="inlineStr">
        <is>
          <t>epic-3</t>
        </is>
      </c>
      <c r="D29" t="inlineStr">
        <is>
          <t>backlog</t>
        </is>
      </c>
      <c r="E29" s="26" t="n"/>
      <c r="F29" s="26" t="n"/>
      <c r="H29" t="inlineStr">
        <is>
          <t>synthetic</t>
        </is>
      </c>
    </row>
    <row r="30">
      <c r="A30" t="inlineStr">
        <is>
          <t>story</t>
        </is>
      </c>
      <c r="B30" t="inlineStr">
        <is>
          <t>3-2-outbox-relay-from-the</t>
        </is>
      </c>
      <c r="C30" t="inlineStr">
        <is>
          <t>epic-3</t>
        </is>
      </c>
      <c r="D30" t="inlineStr">
        <is>
          <t>backlog</t>
        </is>
      </c>
      <c r="E30" s="26" t="n"/>
      <c r="F30" s="26" t="n"/>
      <c r="H30" t="inlineStr">
        <is>
          <t>synthetic</t>
        </is>
      </c>
    </row>
    <row r="31">
      <c r="A31" t="inlineStr">
        <is>
          <t>story</t>
        </is>
      </c>
      <c r="B31" t="inlineStr">
        <is>
          <t>3-3-bronze-ingestion-from-the</t>
        </is>
      </c>
      <c r="C31" t="inlineStr">
        <is>
          <t>epic-3</t>
        </is>
      </c>
      <c r="D31" t="inlineStr">
        <is>
          <t>backlog</t>
        </is>
      </c>
      <c r="E31" s="26" t="n"/>
      <c r="F31" s="26" t="n"/>
      <c r="H31" t="inlineStr">
        <is>
          <t>synthetic</t>
        </is>
      </c>
    </row>
    <row r="32">
      <c r="A32" t="inlineStr">
        <is>
          <t>story</t>
        </is>
      </c>
      <c r="B32" t="inlineStr">
        <is>
          <t>3-4-silver-and-gold-delta</t>
        </is>
      </c>
      <c r="C32" t="inlineStr">
        <is>
          <t>epic-3</t>
        </is>
      </c>
      <c r="D32" t="inlineStr">
        <is>
          <t>backlog</t>
        </is>
      </c>
      <c r="E32" s="26" t="n"/>
      <c r="F32" s="26" t="n"/>
      <c r="H32" t="inlineStr">
        <is>
          <t>synthetic</t>
        </is>
      </c>
    </row>
    <row r="33">
      <c r="A33" t="inlineStr">
        <is>
          <t>story</t>
        </is>
      </c>
      <c r="B33" t="inlineStr">
        <is>
          <t>3-5-behind-the-scenes-stage-panel</t>
        </is>
      </c>
      <c r="C33" t="inlineStr">
        <is>
          <t>epic-3</t>
        </is>
      </c>
      <c r="D33" t="inlineStr">
        <is>
          <t>backlog</t>
        </is>
      </c>
      <c r="E33" s="26" t="n"/>
      <c r="F33" s="26" t="n"/>
      <c r="H33" t="inlineStr">
        <is>
          <t>synthetic</t>
        </is>
      </c>
    </row>
    <row r="34">
      <c r="A34" t="inlineStr">
        <is>
          <t>epic</t>
        </is>
      </c>
      <c r="B34" t="inlineStr">
        <is>
          <t>epic-4</t>
        </is>
      </c>
      <c r="C34" t="inlineStr">
        <is>
          <t>5 stories</t>
        </is>
      </c>
      <c r="D34" t="inlineStr">
        <is>
          <t>backlog</t>
        </is>
      </c>
      <c r="E34" s="26" t="n"/>
      <c r="F34" s="26" t="n"/>
      <c r="H34" t="inlineStr">
        <is>
          <t>synthetic</t>
        </is>
      </c>
    </row>
    <row r="35">
      <c r="A35" t="inlineStr">
        <is>
          <t>story</t>
        </is>
      </c>
      <c r="B35" t="inlineStr">
        <is>
          <t>4-1-unity-catalog-lineage-from</t>
        </is>
      </c>
      <c r="C35" t="inlineStr">
        <is>
          <t>epic-4</t>
        </is>
      </c>
      <c r="D35" t="inlineStr">
        <is>
          <t>backlog</t>
        </is>
      </c>
      <c r="E35" s="26" t="n"/>
      <c r="F35" s="26" t="n"/>
      <c r="H35" t="inlineStr">
        <is>
          <t>synthetic</t>
        </is>
      </c>
    </row>
    <row r="36">
      <c r="A36" t="inlineStr">
        <is>
          <t>story</t>
        </is>
      </c>
      <c r="B36" t="inlineStr">
        <is>
          <t>4-2-cash-forecast-model-tracked</t>
        </is>
      </c>
      <c r="C36" t="inlineStr">
        <is>
          <t>epic-4</t>
        </is>
      </c>
      <c r="D36" t="inlineStr">
        <is>
          <t>backlog</t>
        </is>
      </c>
      <c r="E36" s="26" t="n"/>
      <c r="F36" s="26" t="n"/>
      <c r="H36" t="inlineStr">
        <is>
          <t>synthetic</t>
        </is>
      </c>
    </row>
    <row r="37">
      <c r="A37" t="inlineStr">
        <is>
          <t>story</t>
        </is>
      </c>
      <c r="B37" t="inlineStr">
        <is>
          <t>4-3-isolation-forest-payment-anomaly</t>
        </is>
      </c>
      <c r="C37" t="inlineStr">
        <is>
          <t>epic-4</t>
        </is>
      </c>
      <c r="D37" t="inlineStr">
        <is>
          <t>backlog</t>
        </is>
      </c>
      <c r="E37" s="26" t="n"/>
      <c r="F37" s="26" t="n"/>
      <c r="H37" t="inlineStr">
        <is>
          <t>synthetic</t>
        </is>
      </c>
    </row>
    <row r="38">
      <c r="A38" t="inlineStr">
        <is>
          <t>story</t>
        </is>
      </c>
      <c r="B38" t="inlineStr">
        <is>
          <t>4-4-batch-scoring-into-forecasts</t>
        </is>
      </c>
      <c r="C38" t="inlineStr">
        <is>
          <t>epic-4</t>
        </is>
      </c>
      <c r="D38" t="inlineStr">
        <is>
          <t>backlog</t>
        </is>
      </c>
      <c r="E38" s="26" t="n"/>
      <c r="F38" s="26" t="n"/>
      <c r="H38" t="inlineStr">
        <is>
          <t>synthetic</t>
        </is>
      </c>
    </row>
    <row r="39">
      <c r="A39" t="inlineStr">
        <is>
          <t>story</t>
        </is>
      </c>
      <c r="B39" t="inlineStr">
        <is>
          <t>4-5-forecast-screen-and-anomaly</t>
        </is>
      </c>
      <c r="C39" t="inlineStr">
        <is>
          <t>epic-4</t>
        </is>
      </c>
      <c r="D39" t="inlineStr">
        <is>
          <t>backlog</t>
        </is>
      </c>
      <c r="E39" s="26" t="n"/>
      <c r="F39" s="26" t="n"/>
      <c r="H39" t="inlineStr">
        <is>
          <t>synthetic</t>
        </is>
      </c>
    </row>
    <row r="40">
      <c r="A40" t="inlineStr">
        <is>
          <t>epic</t>
        </is>
      </c>
      <c r="B40" t="inlineStr">
        <is>
          <t>epic-5</t>
        </is>
      </c>
      <c r="C40" t="inlineStr">
        <is>
          <t>5 stories</t>
        </is>
      </c>
      <c r="D40" t="inlineStr">
        <is>
          <t>backlog</t>
        </is>
      </c>
      <c r="E40" s="26" t="n"/>
      <c r="F40" s="26" t="n"/>
      <c r="H40" t="inlineStr">
        <is>
          <t>synthetic</t>
        </is>
      </c>
    </row>
    <row r="41">
      <c r="A41" t="inlineStr">
        <is>
          <t>story</t>
        </is>
      </c>
      <c r="B41" t="inlineStr">
        <is>
          <t>5-1-region-2-aks-from-the</t>
        </is>
      </c>
      <c r="C41" t="inlineStr">
        <is>
          <t>epic-5</t>
        </is>
      </c>
      <c r="D41" t="inlineStr">
        <is>
          <t>backlog</t>
        </is>
      </c>
      <c r="E41" s="26" t="n"/>
      <c r="F41" s="26" t="n"/>
      <c r="H41" t="inlineStr">
        <is>
          <t>synthetic</t>
        </is>
      </c>
    </row>
    <row r="42">
      <c r="A42" t="inlineStr">
        <is>
          <t>story</t>
        </is>
      </c>
      <c r="B42" t="inlineStr">
        <is>
          <t>5-2-front-door-origins-health</t>
        </is>
      </c>
      <c r="C42" t="inlineStr">
        <is>
          <t>epic-5</t>
        </is>
      </c>
      <c r="D42" t="inlineStr">
        <is>
          <t>backlog</t>
        </is>
      </c>
      <c r="E42" s="26" t="n"/>
      <c r="F42" s="26" t="n"/>
      <c r="H42" t="inlineStr">
        <is>
          <t>synthetic</t>
        </is>
      </c>
    </row>
    <row r="43">
      <c r="A43" t="inlineStr">
        <is>
          <t>story</t>
        </is>
      </c>
      <c r="B43" t="inlineStr">
        <is>
          <t>5-3-sql-failover-group-behind</t>
        </is>
      </c>
      <c r="C43" t="inlineStr">
        <is>
          <t>epic-5</t>
        </is>
      </c>
      <c r="D43" t="inlineStr">
        <is>
          <t>backlog</t>
        </is>
      </c>
      <c r="E43" s="26" t="n"/>
      <c r="F43" s="26" t="n"/>
      <c r="H43" t="inlineStr">
        <is>
          <t>synthetic</t>
        </is>
      </c>
    </row>
    <row r="44">
      <c r="A44" t="inlineStr">
        <is>
          <t>story</t>
        </is>
      </c>
      <c r="B44" t="inlineStr">
        <is>
          <t>5-4-grafana-requests-per-second-by-region</t>
        </is>
      </c>
      <c r="C44" t="inlineStr">
        <is>
          <t>epic-5</t>
        </is>
      </c>
      <c r="D44" t="inlineStr">
        <is>
          <t>backlog</t>
        </is>
      </c>
      <c r="E44" s="26" t="n"/>
      <c r="F44" s="26" t="n"/>
      <c r="H44" t="inlineStr">
        <is>
          <t>synthetic</t>
        </is>
      </c>
    </row>
    <row r="45">
      <c r="A45" t="inlineStr">
        <is>
          <t>story</t>
        </is>
      </c>
      <c r="B45" t="inlineStr">
        <is>
          <t>5-5-regional-failover-drill-and</t>
        </is>
      </c>
      <c r="C45" t="inlineStr">
        <is>
          <t>epic-5</t>
        </is>
      </c>
      <c r="D45" t="inlineStr">
        <is>
          <t>backlog</t>
        </is>
      </c>
      <c r="E45" s="26" t="n"/>
      <c r="F45" s="26" t="n"/>
      <c r="H45" t="inlineStr">
        <is>
          <t>synthetic</t>
        </is>
      </c>
    </row>
    <row r="46">
      <c r="A46" t="inlineStr">
        <is>
          <t>epic</t>
        </is>
      </c>
      <c r="B46" t="inlineStr">
        <is>
          <t>epic-6</t>
        </is>
      </c>
      <c r="C46" t="inlineStr">
        <is>
          <t>4 stories</t>
        </is>
      </c>
      <c r="D46" t="inlineStr">
        <is>
          <t>backlog</t>
        </is>
      </c>
      <c r="E46" s="26" t="n"/>
      <c r="F46" s="26" t="n"/>
      <c r="H46" t="inlineStr">
        <is>
          <t>synthetic</t>
        </is>
      </c>
    </row>
    <row r="47">
      <c r="A47" t="inlineStr">
        <is>
          <t>story</t>
        </is>
      </c>
      <c r="B47" t="inlineStr">
        <is>
          <t>6-1-security-controls-evidence-pack</t>
        </is>
      </c>
      <c r="C47" t="inlineStr">
        <is>
          <t>epic-6</t>
        </is>
      </c>
      <c r="D47" t="inlineStr">
        <is>
          <t>backlog</t>
        </is>
      </c>
      <c r="E47" s="26" t="n"/>
      <c r="F47" s="26" t="n"/>
      <c r="H47" t="inlineStr">
        <is>
          <t>synthetic</t>
        </is>
      </c>
    </row>
    <row r="48">
      <c r="A48" t="inlineStr">
        <is>
          <t>story</t>
        </is>
      </c>
      <c r="B48" t="inlineStr">
        <is>
          <t>6-2-pdpa-data-protection-assessment-and</t>
        </is>
      </c>
      <c r="C48" t="inlineStr">
        <is>
          <t>epic-6</t>
        </is>
      </c>
      <c r="D48" t="inlineStr">
        <is>
          <t>backlog</t>
        </is>
      </c>
      <c r="E48" s="26" t="n"/>
      <c r="F48" s="26" t="n"/>
      <c r="H48" t="inlineStr">
        <is>
          <t>synthetic</t>
        </is>
      </c>
    </row>
    <row r="49">
      <c r="A49" t="inlineStr">
        <is>
          <t>story</t>
        </is>
      </c>
      <c r="B49" t="inlineStr">
        <is>
          <t>6-3-uat-with-group-treasury</t>
        </is>
      </c>
      <c r="C49" t="inlineStr">
        <is>
          <t>epic-6</t>
        </is>
      </c>
      <c r="D49" t="inlineStr">
        <is>
          <t>backlog</t>
        </is>
      </c>
      <c r="E49" s="26" t="n"/>
      <c r="F49" s="26" t="n"/>
      <c r="H49" t="inlineStr">
        <is>
          <t>synthetic</t>
        </is>
      </c>
    </row>
    <row r="50">
      <c r="A50" t="inlineStr">
        <is>
          <t>story</t>
        </is>
      </c>
      <c r="B50" t="inlineStr">
        <is>
          <t>6-4-cab-approval-production-cut-over</t>
        </is>
      </c>
      <c r="C50" t="inlineStr">
        <is>
          <t>epic-6</t>
        </is>
      </c>
      <c r="D50" t="inlineStr">
        <is>
          <t>backlog</t>
        </is>
      </c>
      <c r="E50" s="26" t="n"/>
      <c r="F50" s="26" t="n"/>
      <c r="H50" t="inlineStr">
        <is>
          <t>synthetic</t>
        </is>
      </c>
    </row>
    <row r="51">
      <c r="A51" t="inlineStr">
        <is>
          <t>claude</t>
        </is>
      </c>
      <c r="B51" t="inlineStr">
        <is>
          <t>brainstorming</t>
        </is>
      </c>
      <c r="C51" t="inlineStr">
        <is>
          <t>planning</t>
        </is>
      </c>
      <c r="D51" t="inlineStr"/>
      <c r="E51" s="26" t="n">
        <v>46230</v>
      </c>
      <c r="F51" s="26" t="n">
        <v>46231</v>
      </c>
      <c r="G51" t="n">
        <v>2</v>
      </c>
      <c r="H51" t="inlineStr">
        <is>
          <t>token ledger</t>
        </is>
      </c>
    </row>
    <row r="52">
      <c r="A52" t="inlineStr">
        <is>
          <t>claude</t>
        </is>
      </c>
      <c r="B52" t="inlineStr">
        <is>
          <t>spec</t>
        </is>
      </c>
      <c r="C52" t="inlineStr">
        <is>
          <t>planning</t>
        </is>
      </c>
      <c r="D52" t="inlineStr"/>
      <c r="E52" s="26" t="n">
        <v>46232</v>
      </c>
      <c r="F52" s="26" t="n">
        <v>46238</v>
      </c>
      <c r="G52" t="n">
        <v>7</v>
      </c>
      <c r="H52" t="inlineStr">
        <is>
          <t>token ledger</t>
        </is>
      </c>
    </row>
    <row r="53">
      <c r="A53" t="inlineStr">
        <is>
          <t>claude</t>
        </is>
      </c>
      <c r="B53" t="inlineStr">
        <is>
          <t>architecture</t>
        </is>
      </c>
      <c r="C53" t="inlineStr">
        <is>
          <t>planning</t>
        </is>
      </c>
      <c r="D53" t="inlineStr"/>
      <c r="E53" s="26" t="n">
        <v>46239</v>
      </c>
      <c r="F53" s="26" t="n">
        <v>46248</v>
      </c>
      <c r="G53" t="n">
        <v>10</v>
      </c>
      <c r="H53" t="inlineStr">
        <is>
          <t>token ledger</t>
        </is>
      </c>
    </row>
    <row r="54">
      <c r="A54" t="inlineStr">
        <is>
          <t>claude</t>
        </is>
      </c>
      <c r="B54" t="inlineStr">
        <is>
          <t>UX design</t>
        </is>
      </c>
      <c r="C54" t="inlineStr">
        <is>
          <t>planning</t>
        </is>
      </c>
      <c r="D54" t="inlineStr"/>
      <c r="E54" s="26" t="n">
        <v>46244</v>
      </c>
      <c r="F54" s="26" t="n">
        <v>46253</v>
      </c>
      <c r="G54" t="n">
        <v>10</v>
      </c>
      <c r="H54" t="inlineStr">
        <is>
          <t>token ledger</t>
        </is>
      </c>
    </row>
    <row r="55">
      <c r="A55" t="inlineStr">
        <is>
          <t>claude</t>
        </is>
      </c>
      <c r="B55" t="inlineStr">
        <is>
          <t>governance (Jules)</t>
        </is>
      </c>
      <c r="C55" t="inlineStr">
        <is>
          <t>planning</t>
        </is>
      </c>
      <c r="D55" t="inlineStr"/>
      <c r="E55" s="26" t="n">
        <v>46251</v>
      </c>
      <c r="F55" s="26" t="n">
        <v>46255</v>
      </c>
      <c r="G55" t="n">
        <v>5</v>
      </c>
      <c r="H55" t="inlineStr">
        <is>
          <t>token ledger</t>
        </is>
      </c>
    </row>
    <row r="56">
      <c r="A56" t="inlineStr">
        <is>
          <t>claude</t>
        </is>
      </c>
      <c r="B56" t="inlineStr">
        <is>
          <t>architecture docs (Da Vinci)</t>
        </is>
      </c>
      <c r="C56" t="inlineStr">
        <is>
          <t>planning</t>
        </is>
      </c>
      <c r="D56" t="inlineStr"/>
      <c r="E56" s="26" t="n">
        <v>46252</v>
      </c>
      <c r="F56" s="26" t="n">
        <v>46258</v>
      </c>
      <c r="G56" t="n">
        <v>7</v>
      </c>
      <c r="H56" t="inlineStr">
        <is>
          <t>token ledger</t>
        </is>
      </c>
    </row>
    <row r="57">
      <c r="A57" t="inlineStr">
        <is>
          <t>claude</t>
        </is>
      </c>
      <c r="B57" t="inlineStr">
        <is>
          <t>epics &amp; stories</t>
        </is>
      </c>
      <c r="C57" t="inlineStr">
        <is>
          <t>planning</t>
        </is>
      </c>
      <c r="D57" t="inlineStr"/>
      <c r="E57" s="26" t="n">
        <v>46258</v>
      </c>
      <c r="F57" s="26" t="n">
        <v>46261</v>
      </c>
      <c r="G57" t="n">
        <v>4</v>
      </c>
      <c r="H57" t="inlineStr">
        <is>
          <t>token ledger</t>
        </is>
      </c>
    </row>
    <row r="58">
      <c r="A58" t="inlineStr">
        <is>
          <t>claude</t>
        </is>
      </c>
      <c r="B58" t="inlineStr">
        <is>
          <t>merges, promotions &amp; deploys</t>
        </is>
      </c>
      <c r="C58" t="inlineStr">
        <is>
          <t>ops</t>
        </is>
      </c>
      <c r="D58" t="inlineStr"/>
      <c r="E58" s="26" t="n">
        <v>46266</v>
      </c>
      <c r="F58" s="26" t="n">
        <v>46295</v>
      </c>
      <c r="G58" t="n">
        <v>30</v>
      </c>
      <c r="H58" t="inlineStr">
        <is>
          <t>token ledger</t>
        </is>
      </c>
    </row>
    <row r="59">
      <c r="A59" t="inlineStr">
        <is>
          <t>claude</t>
        </is>
      </c>
      <c r="B59" t="inlineStr">
        <is>
          <t>PORTAL-101</t>
        </is>
      </c>
      <c r="C59" t="inlineStr">
        <is>
          <t>story</t>
        </is>
      </c>
      <c r="D59" t="inlineStr"/>
      <c r="E59" s="26" t="n">
        <v>46265</v>
      </c>
      <c r="F59" s="26" t="n">
        <v>46267</v>
      </c>
      <c r="G59" t="n">
        <v>3</v>
      </c>
      <c r="H59" t="inlineStr">
        <is>
          <t>token ledger</t>
        </is>
      </c>
    </row>
    <row r="60">
      <c r="A60" t="inlineStr">
        <is>
          <t>claude</t>
        </is>
      </c>
      <c r="B60" t="inlineStr">
        <is>
          <t>PORTAL-102</t>
        </is>
      </c>
      <c r="C60" t="inlineStr">
        <is>
          <t>story</t>
        </is>
      </c>
      <c r="D60" t="inlineStr"/>
      <c r="E60" s="26" t="n">
        <v>46267</v>
      </c>
      <c r="F60" s="26" t="n">
        <v>46272</v>
      </c>
      <c r="G60" t="n">
        <v>6</v>
      </c>
      <c r="H60" t="inlineStr">
        <is>
          <t>token ledger</t>
        </is>
      </c>
    </row>
    <row r="61">
      <c r="A61" t="inlineStr">
        <is>
          <t>claude</t>
        </is>
      </c>
      <c r="B61" t="inlineStr">
        <is>
          <t>PORTAL-103</t>
        </is>
      </c>
      <c r="C61" t="inlineStr">
        <is>
          <t>story</t>
        </is>
      </c>
      <c r="D61" t="inlineStr"/>
      <c r="E61" s="26" t="n">
        <v>46272</v>
      </c>
      <c r="F61" s="26" t="n">
        <v>46274</v>
      </c>
      <c r="G61" t="n">
        <v>3</v>
      </c>
      <c r="H61" t="inlineStr">
        <is>
          <t>token ledger</t>
        </is>
      </c>
    </row>
    <row r="62">
      <c r="A62" t="inlineStr">
        <is>
          <t>claude</t>
        </is>
      </c>
      <c r="B62" t="inlineStr">
        <is>
          <t>PORTAL-104</t>
        </is>
      </c>
      <c r="C62" t="inlineStr">
        <is>
          <t>story</t>
        </is>
      </c>
      <c r="D62" t="inlineStr"/>
      <c r="E62" s="26" t="n">
        <v>46274</v>
      </c>
      <c r="F62" s="26" t="n">
        <v>46276</v>
      </c>
      <c r="G62" t="n">
        <v>3</v>
      </c>
      <c r="H62" t="inlineStr">
        <is>
          <t>token ledger</t>
        </is>
      </c>
    </row>
    <row r="63">
      <c r="A63" t="inlineStr">
        <is>
          <t>claude</t>
        </is>
      </c>
      <c r="B63" t="inlineStr">
        <is>
          <t>PORTAL-105</t>
        </is>
      </c>
      <c r="C63" t="inlineStr">
        <is>
          <t>story</t>
        </is>
      </c>
      <c r="D63" t="inlineStr"/>
      <c r="E63" s="26" t="n">
        <v>46276</v>
      </c>
      <c r="F63" s="26" t="n">
        <v>46280</v>
      </c>
      <c r="G63" t="n">
        <v>5</v>
      </c>
      <c r="H63" t="inlineStr">
        <is>
          <t>token ledger</t>
        </is>
      </c>
    </row>
    <row r="64">
      <c r="A64" t="inlineStr">
        <is>
          <t>claude</t>
        </is>
      </c>
      <c r="B64" t="inlineStr">
        <is>
          <t>PORTAL-106</t>
        </is>
      </c>
      <c r="C64" t="inlineStr">
        <is>
          <t>story</t>
        </is>
      </c>
      <c r="D64" t="inlineStr"/>
      <c r="E64" s="26" t="n">
        <v>46280</v>
      </c>
      <c r="F64" s="26" t="n">
        <v>46281</v>
      </c>
      <c r="G64" t="n">
        <v>2</v>
      </c>
      <c r="H64" t="inlineStr">
        <is>
          <t>token ledger</t>
        </is>
      </c>
    </row>
    <row r="65">
      <c r="A65" t="inlineStr">
        <is>
          <t>claude</t>
        </is>
      </c>
      <c r="B65" t="inlineStr">
        <is>
          <t>PORTAL-107</t>
        </is>
      </c>
      <c r="C65" t="inlineStr">
        <is>
          <t>story</t>
        </is>
      </c>
      <c r="D65" t="inlineStr"/>
      <c r="E65" s="26" t="n">
        <v>46282</v>
      </c>
      <c r="F65" s="26" t="n">
        <v>46286</v>
      </c>
      <c r="G65" t="n">
        <v>5</v>
      </c>
      <c r="H65" t="inlineStr">
        <is>
          <t>token ledger</t>
        </is>
      </c>
    </row>
    <row r="66">
      <c r="A66" t="inlineStr">
        <is>
          <t>claude</t>
        </is>
      </c>
      <c r="B66" t="inlineStr">
        <is>
          <t>PORTAL-108</t>
        </is>
      </c>
      <c r="C66" t="inlineStr">
        <is>
          <t>story</t>
        </is>
      </c>
      <c r="D66" t="inlineStr"/>
      <c r="E66" s="26" t="n">
        <v>46286</v>
      </c>
      <c r="F66" s="26" t="n">
        <v>46289</v>
      </c>
      <c r="G66" t="n">
        <v>4</v>
      </c>
      <c r="H66" t="inlineStr">
        <is>
          <t>token ledger</t>
        </is>
      </c>
    </row>
    <row r="67">
      <c r="A67" t="inlineStr">
        <is>
          <t>claude</t>
        </is>
      </c>
      <c r="B67" t="inlineStr">
        <is>
          <t>PORTAL-109</t>
        </is>
      </c>
      <c r="C67" t="inlineStr">
        <is>
          <t>story</t>
        </is>
      </c>
      <c r="D67" t="inlineStr"/>
      <c r="E67" s="26" t="n">
        <v>46289</v>
      </c>
      <c r="F67" s="26" t="n">
        <v>46293</v>
      </c>
      <c r="G67" t="n">
        <v>5</v>
      </c>
      <c r="H67" t="inlineStr">
        <is>
          <t>token ledger</t>
        </is>
      </c>
    </row>
    <row r="68">
      <c r="A68" t="inlineStr">
        <is>
          <t>claude</t>
        </is>
      </c>
      <c r="B68" t="inlineStr">
        <is>
          <t>PORTAL-110</t>
        </is>
      </c>
      <c r="C68" t="inlineStr">
        <is>
          <t>story</t>
        </is>
      </c>
      <c r="D68" t="inlineStr"/>
      <c r="E68" s="26" t="n">
        <v>46293</v>
      </c>
      <c r="F68" s="26" t="n">
        <v>46295</v>
      </c>
      <c r="G68" t="n">
        <v>3</v>
      </c>
      <c r="H68" t="inlineStr">
        <is>
          <t>token ledger</t>
        </is>
      </c>
    </row>
    <row r="69">
      <c r="A69" t="inlineStr">
        <is>
          <t>claude</t>
        </is>
      </c>
      <c r="B69" t="inlineStr">
        <is>
          <t>PORTAL-111</t>
        </is>
      </c>
      <c r="C69" t="inlineStr">
        <is>
          <t>story</t>
        </is>
      </c>
      <c r="D69" t="inlineStr"/>
      <c r="E69" s="26" t="n">
        <v>46259</v>
      </c>
      <c r="F69" s="26" t="n">
        <v>46259</v>
      </c>
      <c r="G69" t="n">
        <v>1</v>
      </c>
      <c r="H69" t="inlineStr">
        <is>
          <t>token ledger</t>
        </is>
      </c>
    </row>
    <row r="70">
      <c r="A70" t="inlineStr">
        <is>
          <t>claude</t>
        </is>
      </c>
      <c r="B70" t="inlineStr">
        <is>
          <t>PORTAL-112</t>
        </is>
      </c>
      <c r="C70" t="inlineStr">
        <is>
          <t>story</t>
        </is>
      </c>
      <c r="D70" t="inlineStr"/>
      <c r="E70" s="26" t="n">
        <v>46261</v>
      </c>
      <c r="F70" s="26" t="n">
        <v>46261</v>
      </c>
      <c r="G70" t="n">
        <v>1</v>
      </c>
      <c r="H70" t="inlineStr">
        <is>
          <t>token ledger</t>
        </is>
      </c>
    </row>
    <row r="71">
      <c r="A71" t="inlineStr">
        <is>
          <t>claude</t>
        </is>
      </c>
      <c r="B71" t="inlineStr">
        <is>
          <t>PORTAL-113</t>
        </is>
      </c>
      <c r="C71" t="inlineStr">
        <is>
          <t>story</t>
        </is>
      </c>
      <c r="D71" t="inlineStr"/>
      <c r="E71" s="26" t="n">
        <v>46261</v>
      </c>
      <c r="F71" s="26" t="n">
        <v>46261</v>
      </c>
      <c r="G71" t="n">
        <v>1</v>
      </c>
      <c r="H71" t="inlineStr">
        <is>
          <t>token ledger</t>
        </is>
      </c>
    </row>
    <row r="72">
      <c r="A72" t="inlineStr">
        <is>
          <t>claude</t>
        </is>
      </c>
      <c r="B72" t="inlineStr">
        <is>
          <t>PORTAL-114</t>
        </is>
      </c>
      <c r="C72" t="inlineStr">
        <is>
          <t>story</t>
        </is>
      </c>
      <c r="D72" t="inlineStr"/>
      <c r="E72" s="26" t="n">
        <v>46259</v>
      </c>
      <c r="F72" s="26" t="n">
        <v>46259</v>
      </c>
      <c r="G72" t="n">
        <v>1</v>
      </c>
      <c r="H72" t="inlineStr">
        <is>
          <t>token ledger</t>
        </is>
      </c>
    </row>
    <row r="73">
      <c r="A73" t="inlineStr">
        <is>
          <t>claude</t>
        </is>
      </c>
      <c r="B73" t="inlineStr">
        <is>
          <t>PORTAL-115</t>
        </is>
      </c>
      <c r="C73" t="inlineStr">
        <is>
          <t>story</t>
        </is>
      </c>
      <c r="D73" t="inlineStr"/>
      <c r="E73" s="26" t="n">
        <v>46260</v>
      </c>
      <c r="F73" s="26" t="n">
        <v>46260</v>
      </c>
      <c r="G73" t="n">
        <v>1</v>
      </c>
      <c r="H73" t="inlineStr">
        <is>
          <t>token ledger</t>
        </is>
      </c>
    </row>
    <row r="74">
      <c r="A74" t="inlineStr">
        <is>
          <t>claude</t>
        </is>
      </c>
      <c r="B74" t="inlineStr">
        <is>
          <t>PORTAL-116</t>
        </is>
      </c>
      <c r="C74" t="inlineStr">
        <is>
          <t>story</t>
        </is>
      </c>
      <c r="D74" t="inlineStr"/>
      <c r="E74" s="26" t="n">
        <v>46260</v>
      </c>
      <c r="F74" s="26" t="n">
        <v>46260</v>
      </c>
      <c r="G74" t="n">
        <v>1</v>
      </c>
      <c r="H74" t="inlineStr">
        <is>
          <t>token ledger</t>
        </is>
      </c>
    </row>
    <row r="75">
      <c r="A75" t="inlineStr">
        <is>
          <t>claude</t>
        </is>
      </c>
      <c r="B75" t="inlineStr">
        <is>
          <t>PORTAL-117</t>
        </is>
      </c>
      <c r="C75" t="inlineStr">
        <is>
          <t>story</t>
        </is>
      </c>
      <c r="D75" t="inlineStr"/>
      <c r="E75" s="26" t="n">
        <v>46259</v>
      </c>
      <c r="F75" s="26" t="n">
        <v>46259</v>
      </c>
      <c r="G75" t="n">
        <v>1</v>
      </c>
      <c r="H75" t="inlineStr">
        <is>
          <t>token ledger</t>
        </is>
      </c>
    </row>
    <row r="76">
      <c r="A76" t="inlineStr">
        <is>
          <t>claude</t>
        </is>
      </c>
      <c r="B76" t="inlineStr">
        <is>
          <t>PORTAL-118</t>
        </is>
      </c>
      <c r="C76" t="inlineStr">
        <is>
          <t>story</t>
        </is>
      </c>
      <c r="D76" t="inlineStr"/>
      <c r="E76" s="26" t="n">
        <v>46261</v>
      </c>
      <c r="F76" s="26" t="n">
        <v>46261</v>
      </c>
      <c r="G76" t="n">
        <v>1</v>
      </c>
      <c r="H76" t="inlineStr">
        <is>
          <t>token ledger</t>
        </is>
      </c>
    </row>
    <row r="77">
      <c r="A77" t="inlineStr">
        <is>
          <t>claude</t>
        </is>
      </c>
      <c r="B77" t="inlineStr">
        <is>
          <t>PORTAL-119</t>
        </is>
      </c>
      <c r="C77" t="inlineStr">
        <is>
          <t>story</t>
        </is>
      </c>
      <c r="D77" t="inlineStr"/>
      <c r="E77" s="26" t="n">
        <v>46259</v>
      </c>
      <c r="F77" s="26" t="n">
        <v>46259</v>
      </c>
      <c r="G77" t="n">
        <v>1</v>
      </c>
      <c r="H77" t="inlineStr">
        <is>
          <t>token ledger</t>
        </is>
      </c>
    </row>
    <row r="78">
      <c r="A78" t="inlineStr">
        <is>
          <t>claude</t>
        </is>
      </c>
      <c r="B78" t="inlineStr">
        <is>
          <t>PORTAL-120</t>
        </is>
      </c>
      <c r="C78" t="inlineStr">
        <is>
          <t>story</t>
        </is>
      </c>
      <c r="D78" t="inlineStr"/>
      <c r="E78" s="26" t="n">
        <v>46260</v>
      </c>
      <c r="F78" s="26" t="n">
        <v>46260</v>
      </c>
      <c r="G78" t="n">
        <v>1</v>
      </c>
      <c r="H78" t="inlineStr">
        <is>
          <t>token ledger</t>
        </is>
      </c>
    </row>
    <row r="79">
      <c r="A79" t="inlineStr">
        <is>
          <t>claude</t>
        </is>
      </c>
      <c r="B79" t="inlineStr">
        <is>
          <t>PORTAL-121</t>
        </is>
      </c>
      <c r="C79" t="inlineStr">
        <is>
          <t>story</t>
        </is>
      </c>
      <c r="D79" t="inlineStr"/>
      <c r="E79" s="26" t="n">
        <v>46259</v>
      </c>
      <c r="F79" s="26" t="n">
        <v>46259</v>
      </c>
      <c r="G79" t="n">
        <v>1</v>
      </c>
      <c r="H79" t="inlineStr">
        <is>
          <t>token ledger</t>
        </is>
      </c>
    </row>
    <row r="80">
      <c r="A80" t="inlineStr">
        <is>
          <t>claude</t>
        </is>
      </c>
      <c r="B80" t="inlineStr">
        <is>
          <t>PORTAL-122</t>
        </is>
      </c>
      <c r="C80" t="inlineStr">
        <is>
          <t>story</t>
        </is>
      </c>
      <c r="D80" t="inlineStr"/>
      <c r="E80" s="26" t="n">
        <v>46261</v>
      </c>
      <c r="F80" s="26" t="n">
        <v>46261</v>
      </c>
      <c r="G80" t="n">
        <v>1</v>
      </c>
      <c r="H80" t="inlineStr">
        <is>
          <t>token ledger</t>
        </is>
      </c>
    </row>
    <row r="81">
      <c r="A81" t="inlineStr">
        <is>
          <t>claude</t>
        </is>
      </c>
      <c r="B81" t="inlineStr">
        <is>
          <t>PORTAL-123</t>
        </is>
      </c>
      <c r="C81" t="inlineStr">
        <is>
          <t>story</t>
        </is>
      </c>
      <c r="D81" t="inlineStr"/>
      <c r="E81" s="26" t="n">
        <v>46259</v>
      </c>
      <c r="F81" s="26" t="n">
        <v>46259</v>
      </c>
      <c r="G81" t="n">
        <v>1</v>
      </c>
      <c r="H81" t="inlineStr">
        <is>
          <t>token ledger</t>
        </is>
      </c>
    </row>
    <row r="82">
      <c r="A82" t="inlineStr">
        <is>
          <t>claude</t>
        </is>
      </c>
      <c r="B82" t="inlineStr">
        <is>
          <t>PORTAL-124</t>
        </is>
      </c>
      <c r="C82" t="inlineStr">
        <is>
          <t>story</t>
        </is>
      </c>
      <c r="D82" t="inlineStr"/>
      <c r="E82" s="26" t="n">
        <v>46259</v>
      </c>
      <c r="F82" s="26" t="n">
        <v>46259</v>
      </c>
      <c r="G82" t="n">
        <v>1</v>
      </c>
      <c r="H82" t="inlineStr">
        <is>
          <t>token ledger</t>
        </is>
      </c>
    </row>
    <row r="83">
      <c r="A83" t="inlineStr">
        <is>
          <t>claude</t>
        </is>
      </c>
      <c r="B83" t="inlineStr">
        <is>
          <t>PORTAL-125</t>
        </is>
      </c>
      <c r="C83" t="inlineStr">
        <is>
          <t>story</t>
        </is>
      </c>
      <c r="D83" t="inlineStr"/>
      <c r="E83" s="26" t="n">
        <v>46261</v>
      </c>
      <c r="F83" s="26" t="n">
        <v>46261</v>
      </c>
      <c r="G83" t="n">
        <v>1</v>
      </c>
      <c r="H83" t="inlineStr">
        <is>
          <t>token ledger</t>
        </is>
      </c>
    </row>
    <row r="84">
      <c r="A84" t="inlineStr">
        <is>
          <t>claude</t>
        </is>
      </c>
      <c r="B84" t="inlineStr">
        <is>
          <t>PORTAL-126</t>
        </is>
      </c>
      <c r="C84" t="inlineStr">
        <is>
          <t>story</t>
        </is>
      </c>
      <c r="D84" t="inlineStr"/>
      <c r="E84" s="26" t="n">
        <v>46259</v>
      </c>
      <c r="F84" s="26" t="n">
        <v>46259</v>
      </c>
      <c r="G84" t="n">
        <v>1</v>
      </c>
      <c r="H84" t="inlineStr">
        <is>
          <t>token ledger</t>
        </is>
      </c>
    </row>
    <row r="85">
      <c r="A85" t="inlineStr">
        <is>
          <t>claude</t>
        </is>
      </c>
      <c r="B85" t="inlineStr">
        <is>
          <t>PORTAL-127</t>
        </is>
      </c>
      <c r="C85" t="inlineStr">
        <is>
          <t>story</t>
        </is>
      </c>
      <c r="D85" t="inlineStr"/>
      <c r="E85" s="26" t="n">
        <v>46259</v>
      </c>
      <c r="F85" s="26" t="n">
        <v>46259</v>
      </c>
      <c r="G85" t="n">
        <v>1</v>
      </c>
      <c r="H85" t="inlineStr">
        <is>
          <t>token ledger</t>
        </is>
      </c>
    </row>
    <row r="86">
      <c r="A86" t="inlineStr">
        <is>
          <t>claude</t>
        </is>
      </c>
      <c r="B86" t="inlineStr">
        <is>
          <t>PORTAL-128</t>
        </is>
      </c>
      <c r="C86" t="inlineStr">
        <is>
          <t>story</t>
        </is>
      </c>
      <c r="D86" t="inlineStr"/>
      <c r="E86" s="26" t="n">
        <v>46259</v>
      </c>
      <c r="F86" s="26" t="n">
        <v>46259</v>
      </c>
      <c r="G86" t="n">
        <v>1</v>
      </c>
      <c r="H86" t="inlineStr">
        <is>
          <t>token ledger</t>
        </is>
      </c>
    </row>
    <row r="87">
      <c r="A87" t="inlineStr">
        <is>
          <t>claude</t>
        </is>
      </c>
      <c r="B87" t="inlineStr">
        <is>
          <t>PORTAL-129</t>
        </is>
      </c>
      <c r="C87" t="inlineStr">
        <is>
          <t>story</t>
        </is>
      </c>
      <c r="D87" t="inlineStr"/>
      <c r="E87" s="26" t="n">
        <v>46260</v>
      </c>
      <c r="F87" s="26" t="n">
        <v>46260</v>
      </c>
      <c r="G87" t="n">
        <v>1</v>
      </c>
      <c r="H87" t="inlineStr">
        <is>
          <t>token ledger</t>
        </is>
      </c>
    </row>
    <row r="88">
      <c r="A88" t="inlineStr">
        <is>
          <t>claude</t>
        </is>
      </c>
      <c r="B88" t="inlineStr">
        <is>
          <t>PORTAL-130</t>
        </is>
      </c>
      <c r="C88" t="inlineStr">
        <is>
          <t>story</t>
        </is>
      </c>
      <c r="D88" t="inlineStr"/>
      <c r="E88" s="26" t="n">
        <v>46260</v>
      </c>
      <c r="F88" s="26" t="n">
        <v>46260</v>
      </c>
      <c r="G88" t="n">
        <v>1</v>
      </c>
      <c r="H88" t="inlineStr">
        <is>
          <t>token ledger</t>
        </is>
      </c>
    </row>
    <row r="89">
      <c r="A89" t="inlineStr">
        <is>
          <t>claude</t>
        </is>
      </c>
      <c r="B89" t="inlineStr">
        <is>
          <t>PORTAL-131</t>
        </is>
      </c>
      <c r="C89" t="inlineStr">
        <is>
          <t>story</t>
        </is>
      </c>
      <c r="D89" t="inlineStr"/>
      <c r="E89" s="26" t="n">
        <v>46259</v>
      </c>
      <c r="F89" s="26" t="n">
        <v>46259</v>
      </c>
      <c r="G89" t="n">
        <v>1</v>
      </c>
      <c r="H89" t="inlineStr">
        <is>
          <t>token ledger</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7" customWidth="1" min="3" max="3"/>
    <col width="60" customWidth="1" min="4" max="4"/>
    <col width="36" customWidth="1" min="5" max="5"/>
    <col width="36" customWidth="1" min="6" max="6"/>
    <col width="10" customWidth="1" min="7" max="7"/>
    <col width="12" customWidth="1" min="8" max="8"/>
  </cols>
  <sheetData>
    <row r="1">
      <c r="A1" s="1" t="inlineStr">
        <is>
          <t>AI feedback by epic</t>
        </is>
      </c>
    </row>
    <row r="2">
      <c r="A2" t="inlineStr">
        <is>
          <t>The team's rating of the AI at the end of each epic, 1 (very poor) to 5 (excellent), and what went wrong when it was poor (1 or 2). From ai-feedback.csv in Scrooge's sanctum.</t>
        </is>
      </c>
    </row>
    <row r="4">
      <c r="A4" s="3" t="inlineStr">
        <is>
          <t>Epic</t>
        </is>
      </c>
      <c r="B4" s="3" t="inlineStr">
        <is>
          <t>Rating</t>
        </is>
      </c>
      <c r="C4" s="3" t="inlineStr">
        <is>
          <t>Poor</t>
        </is>
      </c>
      <c r="D4" s="3" t="inlineStr">
        <is>
          <t>Categories</t>
        </is>
      </c>
      <c r="E4" s="3" t="inlineStr">
        <is>
          <t>Other</t>
        </is>
      </c>
      <c r="F4" s="3" t="inlineStr">
        <is>
          <t>Comment</t>
        </is>
      </c>
      <c r="G4" s="3" t="inlineStr">
        <is>
          <t>Status</t>
        </is>
      </c>
      <c r="H4" s="3" t="inlineStr">
        <is>
          <t>Recorded</t>
        </is>
      </c>
    </row>
    <row r="5">
      <c r="A5" t="inlineStr">
        <is>
          <t>epic-1</t>
        </is>
      </c>
      <c r="B5" t="n">
        <v>4</v>
      </c>
      <c r="C5" t="inlineStr">
        <is>
          <t>no</t>
        </is>
      </c>
      <c r="D5" t="inlineStr"/>
      <c r="E5" t="inlineStr"/>
      <c r="F5" t="inlineStr">
        <is>
          <t>Terraform and Istio landed fast; the Kong token plugin needed two rework rounds</t>
        </is>
      </c>
      <c r="G5" t="inlineStr">
        <is>
          <t>rated</t>
        </is>
      </c>
      <c r="H5" s="26" t="n">
        <v>46282</v>
      </c>
    </row>
    <row r="6">
      <c r="A6" s="16" t="inlineStr">
        <is>
          <t>Average</t>
        </is>
      </c>
      <c r="B6" s="39">
        <f>IFERROR(AVERAGE(B5:B5),"")</f>
        <v/>
      </c>
      <c r="C6" s="16" t="n"/>
      <c r="D6" s="16" t="n"/>
      <c r="E6" s="16" t="n"/>
      <c r="F6" s="16" t="n"/>
      <c r="G6" s="16" t="n"/>
      <c r="H6" s="16" t="n"/>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4" customWidth="1" min="1" max="1"/>
    <col width="120" customWidth="1" min="2" max="2"/>
  </cols>
  <sheetData>
    <row r="1">
      <c r="A1" s="1" t="inlineStr">
        <is>
          <t>Sources, assumptions and gaps</t>
        </is>
      </c>
    </row>
    <row r="3">
      <c r="A3" s="2" t="inlineStr">
        <is>
          <t>Price basis</t>
        </is>
      </c>
    </row>
    <row r="4">
      <c r="B4" s="40" t="inlineStr">
        <is>
          <t>Azure Retail Prices API list prices (pay-as-you-go, no discounts), region westus3, USD, fetched 2026-09-30.</t>
        </is>
      </c>
    </row>
    <row r="5">
      <c r="B5" s="40" t="inlineStr">
        <is>
          <t>Rate card: owner, 2026-09-28 (blended average day rate per person), updated 2026-09-30.</t>
        </is>
      </c>
    </row>
    <row r="6">
      <c r="B6" s="40" t="inlineStr">
        <is>
          <t>Claude API list prices from https://platform.claude.com/docs/en/about-claude/pricing, read 2026-09-28, USD per million tokens. Claude Code on a subscription is billed per seat: this is the API-equivalent cost.</t>
        </is>
      </c>
    </row>
    <row r="7">
      <c r="B7" s="40" t="inlineStr">
        <is>
          <t>Horizon: 3 years of run after go-live, run costs rising 3% a year.</t>
        </is>
      </c>
    </row>
    <row r="9">
      <c r="A9" s="2" t="inlineStr">
        <is>
          <t>Gaps: not priced and not in any total</t>
        </is>
      </c>
    </row>
    <row r="10">
      <c r="B10" s="40" t="inlineStr">
        <is>
          <t>All client, user, team, calendar, epic and Claude-usage figures are synthetic portfolio figures (owner request 2026-09-30); the SPEC is a PoC for a 3-day demo.</t>
        </is>
      </c>
    </row>
    <row r="11">
      <c r="B11" s="40" t="inlineStr">
        <is>
          <t>No epics file exists: the 6 epics and 31 stories were derived from the SPEC capabilities (CAP-1 to CAP-15) and live only in this model.</t>
        </is>
      </c>
    </row>
    <row r="12">
      <c r="B12" s="40" t="inlineStr">
        <is>
          <t>No real Claude ledger: usage in docs/costing/portfolio-ledger/ is synthesised (Opus 5.5, planning before 2026-08-31, stories inside their epic windows); not-started stories carry only their drafting calls from the epics &amp; stories phase.</t>
        </is>
      </c>
    </row>
    <row r="13">
      <c r="B13" s="40" t="inlineStr">
        <is>
          <t>Environments Dev, Test, UAT and Prod are the owner's rule for this project (2026-09-30); the SPEC itself describes one PoC environment destroyed after the demo.</t>
        </is>
      </c>
    </row>
    <row r="14">
      <c r="B14" s="40" t="inlineStr">
        <is>
          <t>Regions follow SPEC/stack.md (West US 3 primary, North Central US secondary, chosen as the cheapest AKS regions); Sentral's PDPA cross-border transfer review and BNM RMiT may move production to Malaysia West, which would reprice every line.</t>
        </is>
      </c>
    </row>
    <row r="15">
      <c r="B15" s="40" t="inlineStr">
        <is>
          <t>Existing Jenkins VM and container registry are not priced (stack.md: existing assets).</t>
        </is>
      </c>
    </row>
    <row r="16">
      <c r="B16" s="40" t="inlineStr">
        <is>
          <t>Entra External ID: assumed within the free 50,000 MAU tier for ~6,500 registered users; not priced.</t>
        </is>
      </c>
    </row>
    <row r="17">
      <c r="B17" s="40" t="inlineStr">
        <is>
          <t>HashiCorp Vault Community (BSL), Kong OSS, Prometheus and Grafana: no licence cost assumed (SPEC assumption).</t>
        </is>
      </c>
    </row>
    <row r="18">
      <c r="B18" s="40" t="inlineStr">
        <is>
          <t>Databricks DBU rate assumed at 1 DBU per D4s_v5 node-hour; confirm against the workspace's VM DBU table.</t>
        </is>
      </c>
    </row>
    <row r="19">
      <c r="B19" s="40" t="inlineStr">
        <is>
          <t>Revenue: none given, so no payback or return on cost.</t>
        </is>
      </c>
    </row>
    <row r="20">
      <c r="B20" s="40" t="inlineStr">
        <is>
          <t>Actual cloud spend: no Azure Cost Management export for Sentral's subscription.</t>
        </is>
      </c>
    </row>
    <row r="21">
      <c r="B21" s="40" t="inlineStr">
        <is>
          <t>Revenue: none given, so the Multi-Year sheet shows costs only.</t>
        </is>
      </c>
    </row>
    <row r="23">
      <c r="A23" s="2" t="inlineStr">
        <is>
          <t>Assumptions and owner statements (not from the BMad artifacts)</t>
        </is>
      </c>
    </row>
    <row r="24">
      <c r="B24" s="40" t="inlineStr">
        <is>
          <t>UAT / Log Analytics ingestion: assumption: AKS and SQL diagnostics, ~15 GB a month billed; synthetic portfolio figure, owner request 2026-09-30</t>
        </is>
      </c>
    </row>
    <row r="25">
      <c r="B25" s="40" t="inlineStr">
        <is>
          <t>Prod / Log Analytics ingestion: assumption: AKS, SQL, Front Door and audit diagnostics, ~60 GB a month billed; synthetic portfolio figure, owner request 2026-09-30</t>
        </is>
      </c>
    </row>
    <row r="26">
      <c r="B26" s="40" t="inlineStr">
        <is>
          <t>Team / Delivery lead: assumption: AI-assisted delivery team for 31 stories over 75 working days; synthetic portfolio figure, owner request 2026-09-30</t>
        </is>
      </c>
    </row>
    <row r="27">
      <c r="B27" s="40" t="inlineStr">
        <is>
          <t>Team / Solution architect: assumption: AI-assisted delivery team for 31 stories over 75 working days; synthetic portfolio figure, owner request 2026-09-30</t>
        </is>
      </c>
    </row>
    <row r="28">
      <c r="B28" s="40" t="inlineStr">
        <is>
          <t>Team / QA engineer: assumption: AI-assisted delivery team for 31 stories over 75 working days; synthetic portfolio figure, owner request 2026-09-30</t>
        </is>
      </c>
    </row>
    <row r="29">
      <c r="B29" s="40" t="inlineStr">
        <is>
          <t>Other / Penetration test (external CREST tester): assumption: pre-go-live pen test required by Sentral's Group Security; synthetic portfolio figure, owner request 2026-09-30</t>
        </is>
      </c>
    </row>
    <row r="30">
      <c r="B30" s="40" t="inlineStr">
        <is>
          <t>Other / PDPA data-protection impact assessment: assumption: external privacy counsel for PDPA 2010 and cross-border transfer; synthetic portfolio figure, owner request 2026-09-30</t>
        </is>
      </c>
    </row>
    <row r="31">
      <c r="B31" s="40" t="inlineStr">
        <is>
          <t>Run cost / Annual penetration test: assumption: Sentral Group Security policy, yearly retest; synthetic portfolio figure, owner request 2026-09-30</t>
        </is>
      </c>
    </row>
    <row r="32">
      <c r="B32" s="40" t="inlineStr">
        <is>
          <t>Support / Support engineer: assumption: L2 support, patching and on-call for the portal; synthetic portfolio figure, owner request 2026-09-30</t>
        </is>
      </c>
    </row>
    <row r="33">
      <c r="B33" s="40" t="inlineStr">
        <is>
          <t>Support / Cloud / DevOps engineer: assumption: AKS, Istio, Kong and Vault upgrades in two regions; synthetic portfolio figure, owner request 2026-09-30</t>
        </is>
      </c>
    </row>
    <row r="34">
      <c r="B34" s="40" t="inlineStr">
        <is>
          <t>Support / Data engineer: assumption: pipeline care and model retraining; synthetic portfolio figure, owner request 2026-09-30</t>
        </is>
      </c>
    </row>
    <row r="35">
      <c r="B35" s="40" t="inlineStr">
        <is>
          <t>Phase budget / brainstorming: assumption: owner's Claude API budget per phase; synthetic portfolio figure, owner request 2026-09-30</t>
        </is>
      </c>
    </row>
    <row r="36">
      <c r="B36" s="40" t="inlineStr">
        <is>
          <t>Phase budget / spec: assumption: owner's Claude API budget per phase; synthetic portfolio figure, owner request 2026-09-30</t>
        </is>
      </c>
    </row>
    <row r="37">
      <c r="B37" s="40" t="inlineStr">
        <is>
          <t>Phase budget / architecture: assumption: owner's Claude API budget per phase; synthetic portfolio figure, owner request 2026-09-30</t>
        </is>
      </c>
    </row>
    <row r="38">
      <c r="B38" s="40" t="inlineStr">
        <is>
          <t>Phase budget / UX design: assumption: owner's Claude API budget per phase; synthetic portfolio figure, owner request 2026-09-30</t>
        </is>
      </c>
    </row>
    <row r="39">
      <c r="B39" s="40" t="inlineStr">
        <is>
          <t>Phase budget / governance (Jules): assumption: owner's Claude API budget per phase; synthetic portfolio figure, owner request 2026-09-30</t>
        </is>
      </c>
    </row>
    <row r="40">
      <c r="B40" s="40" t="inlineStr">
        <is>
          <t>Phase budget / architecture docs (Da Vinci): assumption: owner's Claude API budget per phase; synthetic portfolio figure, owner request 2026-09-30</t>
        </is>
      </c>
    </row>
    <row r="41">
      <c r="B41" s="40" t="inlineStr">
        <is>
          <t>Phase budget / epics &amp; stories: assumption: owner's Claude API budget per phase; synthetic portfolio figure, owner request 2026-09-30</t>
        </is>
      </c>
    </row>
    <row r="42">
      <c r="B42" s="40" t="inlineStr">
        <is>
          <t>Phase budget / merges, promotions &amp; deploys: assumption: owner's Claude API budget per phase; synthetic portfolio figure, owner request 2026-09-30</t>
        </is>
      </c>
    </row>
    <row r="44">
      <c r="A44" s="2" t="inlineStr">
        <is>
          <t>Stamp: built 2026-09-30T15:05:25; sha256 of each cited file</t>
        </is>
      </c>
    </row>
    <row r="45">
      <c r="B45" s="40" t="inlineStr">
        <is>
          <t>_bmad-output/specs/spec-corporate-portal-poc/SPEC.md  ccaff96ab2db</t>
        </is>
      </c>
    </row>
    <row r="46">
      <c r="B46" s="40" t="inlineStr">
        <is>
          <t>_bmad-output/specs/spec-corporate-portal-poc/stack.md  e93f379b585d</t>
        </is>
      </c>
    </row>
    <row r="47">
      <c r="B47" s="40" t="inlineStr">
        <is>
          <t>docs/costing/portfolio-ledger/claude_usage.csv  3363442b9189</t>
        </is>
      </c>
    </row>
    <row r="48">
      <c r="B48" s="40" t="inlineStr">
        <is>
          <t>docs/costing/portfolio-ledger/claude-prices.json  0dcde61aa110</t>
        </is>
      </c>
    </row>
    <row r="49">
      <c r="B49" s="40" t="inlineStr">
        <is>
          <t>docs/costing/portfolio-ledger/project_timeline.csv  17cb7fd9e318</t>
        </is>
      </c>
    </row>
    <row r="50">
      <c r="B50" s="40" t="inlineStr">
        <is>
          <t>docs/costing/portfolio-ledger/claude_usage_daily.csv  4dcfb5327e2b</t>
        </is>
      </c>
    </row>
    <row r="51">
      <c r="B51" s="40" t="inlineStr">
        <is>
          <t>docs/costing/portfolio-ledger/ai-feedback.csv  72619fa788a6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2026-09-30T07:05:25Z</dcterms:created>
  <dcterms:modified xsi:type="dcterms:W3CDTF">2026-09-30T07:05:25Z</dcterms:modified>
</cp:coreProperties>
</file>